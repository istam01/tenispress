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91" documentId="13_ncr:1_{01A063F3-997C-4D1C-9898-A98279BCB518}" xr6:coauthVersionLast="47" xr6:coauthVersionMax="47" xr10:uidLastSave="{DED6E711-D05C-47FF-9A1F-5781BEECAD27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4" i="2" l="1"/>
  <c r="K44" i="2"/>
  <c r="K45" i="2" s="1"/>
  <c r="H44" i="2"/>
  <c r="H45" i="2" s="1"/>
  <c r="E44" i="2"/>
  <c r="N45" i="2"/>
  <c r="L45" i="2"/>
  <c r="I45" i="2"/>
  <c r="F45" i="2"/>
  <c r="E45" i="2"/>
  <c r="C45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90" l="1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3" i="17" a="1"/>
  <c r="C48" i="17" a="1"/>
  <c r="C14" i="17" a="1"/>
  <c r="C51" i="17" a="1"/>
  <c r="C52" i="17" a="1"/>
  <c r="C19" i="17" a="1"/>
  <c r="C20" i="17" a="1"/>
  <c r="C24" i="17" a="1"/>
  <c r="C10" i="17" a="1"/>
  <c r="C25" i="17" a="1"/>
  <c r="C38" i="17" a="1"/>
  <c r="C9" i="17" a="1"/>
  <c r="C49" i="17" a="1"/>
  <c r="C7" i="17" a="1"/>
  <c r="C50" i="17" a="1"/>
  <c r="C1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<sst xmlns="http://schemas.openxmlformats.org/spreadsheetml/2006/main" count="9439" uniqueCount="103">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</sst>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6"/>
  <sheetViews>
    <sheetView tabSelected="1" topLeftCell="B41" zoomScaleNormal="100" workbookViewId="0">
      <selection activeCell="B45" sqref="B45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46199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>VLOOKUP(G44,$D$6:$E$16,2,FALSE)+F44</f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7.75" customHeight="1" x14ac:dyDescent="0.5">
      <c r="B45" s="25" t="s">
        <v>15</v>
      </c>
      <c r="C45" s="97">
        <f>SUM(C22:C44)</f>
        <v>217</v>
      </c>
      <c r="E45" s="101">
        <f>SUM(E22:E44)</f>
        <v>317</v>
      </c>
      <c r="F45" s="97">
        <f>SUM(F22:F44)</f>
        <v>214</v>
      </c>
      <c r="G45" s="96"/>
      <c r="H45" s="107">
        <f>SUM(H22:H44)</f>
        <v>322</v>
      </c>
      <c r="I45" s="97">
        <f>SUM(I22:I44)</f>
        <v>83</v>
      </c>
      <c r="J45" s="25"/>
      <c r="K45" s="108">
        <f>SUM(K22:K44)</f>
        <v>120</v>
      </c>
      <c r="L45" s="97">
        <f>SUM(L22:L44)</f>
        <v>202</v>
      </c>
      <c r="N45" s="112">
        <f>SUM(N22:N44)</f>
        <v>303</v>
      </c>
    </row>
    <row r="46" spans="2:14" ht="14.25" customHeight="1" x14ac:dyDescent="0.25">
      <c r="K46" s="1"/>
    </row>
    <row r="47" spans="2:14" ht="14.25" customHeight="1" x14ac:dyDescent="0.25"/>
    <row r="48" spans="2:14" ht="14.25" customHeight="1" x14ac:dyDescent="0.25"/>
    <row r="49" ht="14.25" customHeight="1" x14ac:dyDescent="0.25"/>
    <row r="50" ht="14.25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44.25" customHeight="1" x14ac:dyDescent="0.25">
      <c r="P86" s="102" t="s">
        <v>82</v>
      </c>
    </row>
    <row r="87" spans="15:16" ht="14.25" customHeight="1" x14ac:dyDescent="0.25">
      <c r="O87" s="2"/>
    </row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31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29</v>
      </c>
    </row>
    <row r="10" spans="2:3" x14ac:dyDescent="0.25">
      <c r="B10" t="s">
        <v>75</v>
      </c>
      <c r="C10" cm="1">
        <f t="array" ref="C10">CountValueWithColumnACondition("w(0)", "Piotr")</f>
        <v>35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57</v>
      </c>
    </row>
    <row r="13" spans="2:3" x14ac:dyDescent="0.25">
      <c r="B13" s="50" t="s">
        <v>41</v>
      </c>
      <c r="C13" cm="1">
        <f t="array" ref="C13">CountValueWithColumnACondition("w(15)", "Marcin")</f>
        <v>17</v>
      </c>
    </row>
    <row r="14" spans="2:3" x14ac:dyDescent="0.25">
      <c r="B14" s="50" t="s">
        <v>42</v>
      </c>
      <c r="C14" cm="1">
        <f t="array" ref="C14">CountValueWithColumnACondition("w(15)", "Rysiek")</f>
        <v>53</v>
      </c>
    </row>
    <row r="15" spans="2:3" x14ac:dyDescent="0.25">
      <c r="B15" s="89" t="s">
        <v>76</v>
      </c>
      <c r="C15" cm="1">
        <f t="array" ref="C15">CountValueWithColumnACondition("w(15)", "Piotr")</f>
        <v>49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59</v>
      </c>
    </row>
    <row r="18" spans="1:14" x14ac:dyDescent="0.25">
      <c r="B18" s="50" t="s">
        <v>38</v>
      </c>
      <c r="C18" cm="1">
        <f t="array" ref="C18">CountValueWithColumnACondition("w(30)", "Marcin")</f>
        <v>20</v>
      </c>
    </row>
    <row r="19" spans="1:14" x14ac:dyDescent="0.25">
      <c r="B19" s="50" t="s">
        <v>39</v>
      </c>
      <c r="C19" s="34" cm="1">
        <f t="array" ref="C19">CountValueWithColumnACondition("w(30)", "Rysiek")</f>
        <v>64</v>
      </c>
    </row>
    <row r="20" spans="1:14" x14ac:dyDescent="0.25">
      <c r="B20" s="89" t="s">
        <v>77</v>
      </c>
      <c r="C20" s="34" cm="1">
        <f t="array" ref="C20">CountValueWithColumnACondition("w(30)", "Piotr")</f>
        <v>75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70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66</v>
      </c>
    </row>
    <row r="25" spans="1:14" x14ac:dyDescent="0.25">
      <c r="B25" s="89" t="s">
        <v>78</v>
      </c>
      <c r="C25" cm="1">
        <f t="array" ref="C25">CountValueWithColumnACondition("w(z)", "Piotr")</f>
        <v>43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217</v>
      </c>
      <c r="F27" s="87"/>
    </row>
    <row r="28" spans="1:14" x14ac:dyDescent="0.25">
      <c r="A28" s="87"/>
      <c r="B28" s="53" t="s">
        <v>8</v>
      </c>
      <c r="C28">
        <f>SUM(C8,C13,C18,C23)</f>
        <v>83</v>
      </c>
      <c r="N28" s="111" t="s">
        <v>82</v>
      </c>
    </row>
    <row r="29" spans="1:14" x14ac:dyDescent="0.25">
      <c r="B29" s="53" t="s">
        <v>6</v>
      </c>
      <c r="C29">
        <f>SUM(C9,C14,C19,C24)</f>
        <v>212</v>
      </c>
    </row>
    <row r="30" spans="1:14" x14ac:dyDescent="0.25">
      <c r="B30" s="89" t="s">
        <v>67</v>
      </c>
      <c r="C30">
        <f>SUM(C10,C15,C20,C25)</f>
        <v>202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70</v>
      </c>
    </row>
    <row r="33" spans="2:3" x14ac:dyDescent="0.25">
      <c r="B33" s="51" t="s">
        <v>49</v>
      </c>
      <c r="C33" cm="1">
        <f t="array" ref="C33">CountWins("Marcin","Irek")</f>
        <v>42</v>
      </c>
    </row>
    <row r="34" spans="2:3" x14ac:dyDescent="0.25">
      <c r="B34" s="51" t="s">
        <v>52</v>
      </c>
      <c r="C34" cm="1">
        <f t="array" ref="C34">CountWins("Marcin","Rysiek")</f>
        <v>32</v>
      </c>
    </row>
    <row r="35" spans="2:3" x14ac:dyDescent="0.25">
      <c r="B35" s="51" t="s">
        <v>53</v>
      </c>
      <c r="C35" cm="1">
        <f t="array" ref="C35">CountWins("Rysiek","Marcin")</f>
        <v>68</v>
      </c>
    </row>
    <row r="36" spans="2:3" x14ac:dyDescent="0.25">
      <c r="B36" s="51" t="s">
        <v>50</v>
      </c>
      <c r="C36" cm="1">
        <f t="array" ref="C36">CountWins("Irek","Rysiek")</f>
        <v>85</v>
      </c>
    </row>
    <row r="37" spans="2:3" x14ac:dyDescent="0.25">
      <c r="B37" s="51" t="s">
        <v>51</v>
      </c>
      <c r="C37" cm="1">
        <f t="array" ref="C37">CountWins("Rysiek","Irek")</f>
        <v>96</v>
      </c>
    </row>
    <row r="38" spans="2:3" x14ac:dyDescent="0.25">
      <c r="B38" s="88" t="s">
        <v>69</v>
      </c>
      <c r="C38" cm="1">
        <f t="array" ref="C38">CountWins("Irek","Piotr")</f>
        <v>62</v>
      </c>
    </row>
    <row r="39" spans="2:3" x14ac:dyDescent="0.25">
      <c r="B39" s="88" t="s">
        <v>70</v>
      </c>
      <c r="C39" cm="1">
        <f t="array" ref="C39">CountWins("Piotr","Irek")</f>
        <v>77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50</v>
      </c>
    </row>
    <row r="43" spans="2:3" x14ac:dyDescent="0.25">
      <c r="B43" s="88" t="s">
        <v>74</v>
      </c>
      <c r="C43" cm="1">
        <f t="array" ref="C43">CountWins("Piotr","Rysiek")</f>
        <v>79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111</v>
      </c>
    </row>
    <row r="47" spans="2:3" x14ac:dyDescent="0.25">
      <c r="B47" s="53" t="s">
        <v>55</v>
      </c>
      <c r="C47" cm="1">
        <f t="array" ref="C47">CountCellsStartingWithWwhereColumnSorO("Irek","o")</f>
        <v>106</v>
      </c>
    </row>
    <row r="48" spans="2:3" x14ac:dyDescent="0.25">
      <c r="B48" s="53" t="s">
        <v>56</v>
      </c>
      <c r="C48" cm="1">
        <f t="array" ref="C48">CountCellsStartingWithWwhereColumnSorO("Rysiek","s")</f>
        <v>115</v>
      </c>
    </row>
    <row r="49" spans="2:3" x14ac:dyDescent="0.25">
      <c r="B49" s="53" t="s">
        <v>57</v>
      </c>
      <c r="C49" cm="1">
        <f t="array" ref="C49">CountCellsStartingWithWwhereColumnSorO("Rysiek","o")</f>
        <v>99</v>
      </c>
    </row>
    <row r="50" spans="2:3" x14ac:dyDescent="0.25">
      <c r="B50" s="53" t="s">
        <v>58</v>
      </c>
      <c r="C50" cm="1">
        <f t="array" ref="C50">CountCellsStartingWithWwhereColumnSorO("Marcin","s")</f>
        <v>41</v>
      </c>
    </row>
    <row r="51" spans="2:3" x14ac:dyDescent="0.25">
      <c r="B51" s="53" t="s">
        <v>59</v>
      </c>
      <c r="C51" cm="1">
        <f t="array" ref="C51">CountCellsStartingWithWwhereColumnSorO("Marcin","o")</f>
        <v>42</v>
      </c>
    </row>
    <row r="52" spans="2:3" x14ac:dyDescent="0.25">
      <c r="B52" s="89" t="s">
        <v>79</v>
      </c>
      <c r="C52" cm="1">
        <f t="array" ref="C52">CountCellsStartingWithWwhereColumnSorO("Piotr","s")</f>
        <v>95</v>
      </c>
    </row>
    <row r="53" spans="2:3" x14ac:dyDescent="0.25">
      <c r="B53" s="89" t="s">
        <v>80</v>
      </c>
      <c r="C53" cm="1">
        <f t="array" ref="C53">CountCellsStartingWithWwhereColumnSorO("Piotr","o")</f>
        <v>107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2026-08-16T09:11:23Z</dcterms:modified>
</cp:coreProperties>
</file>