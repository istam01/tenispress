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4155" documentId="13_ncr:1_{32891C05-B7EF-4D94-B7C7-CC022DF648DD}" xr6:coauthVersionLast="47" xr6:coauthVersionMax="47" xr10:uidLastSave="{0B96004C-D091-4FB5-9633-543A59832C95}"/>
  <bookViews>
    <workbookView xWindow="-120" yWindow="-120" windowWidth="20730" windowHeight="11160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2" l="1"/>
  <c r="K42" i="2"/>
  <c r="H42" i="2"/>
  <c r="E42" i="2"/>
  <c r="L43" i="2"/>
  <c r="I43" i="2"/>
  <c r="F43" i="2"/>
  <c r="E43" i="2"/>
  <c r="C43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K43" i="2" s="1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H43" i="2" s="1"/>
  <c r="E23" i="2"/>
  <c r="N43" i="2" l="1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0" i="17" a="1"/>
  <c r="C49" i="17" a="1"/>
  <c r="C24" i="17" a="1"/>
  <c r="C14" i="17" a="1"/>
  <c r="C9" i="17" a="1"/>
  <c r="C51" i="17" a="1"/>
  <c r="C20" i="17" a="1"/>
  <c r="C48" i="17" a="1"/>
  <c r="C7" i="17" a="1"/>
  <c r="C15" i="17" a="1"/>
  <c r="C25" i="17" a="1"/>
  <c r="C52" i="17" a="1"/>
  <c r="C53" i="17" a="1"/>
  <c r="C38" i="17" a="1"/>
  <c r="C19" i="17" a="1"/>
  <c r="C10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<sst xmlns="http://schemas.openxmlformats.org/spreadsheetml/2006/main" count="8615" uniqueCount="103">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</sst>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4"/>
  <sheetViews>
    <sheetView tabSelected="1" topLeftCell="B36" zoomScaleNormal="100" workbookViewId="0">
      <selection activeCell="N48" sqref="N48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2" si="0">VLOOKUP(D23,$D$6:$E$16,2,FALSE)+C23</f>
        <v>8</v>
      </c>
      <c r="F23" s="14">
        <v>10</v>
      </c>
      <c r="G23" s="18" t="s">
        <v>89</v>
      </c>
      <c r="H23" s="23">
        <f t="shared" ref="H23:H41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2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2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46199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7.75" customHeight="1" x14ac:dyDescent="0.5">
      <c r="B43" s="25" t="s">
        <v>15</v>
      </c>
      <c r="C43" s="97">
        <f>SUM(C22:C42)</f>
        <v>194</v>
      </c>
      <c r="E43" s="101">
        <f>SUM(E22:E42)</f>
        <v>284</v>
      </c>
      <c r="F43" s="97">
        <f>SUM(F22:F42)</f>
        <v>195</v>
      </c>
      <c r="G43" s="96"/>
      <c r="H43" s="107">
        <f>SUM(H22:H42)</f>
        <v>293</v>
      </c>
      <c r="I43" s="97">
        <f>SUM(I22:I42)</f>
        <v>83</v>
      </c>
      <c r="J43" s="25"/>
      <c r="K43" s="108">
        <f>SUM(K22:K42)</f>
        <v>120</v>
      </c>
      <c r="L43" s="97">
        <f>SUM(L22:L42)</f>
        <v>181</v>
      </c>
      <c r="N43" s="112">
        <f>SUM(N22:N42)</f>
        <v>272</v>
      </c>
    </row>
    <row r="44" spans="2:14" ht="14.25" customHeight="1" x14ac:dyDescent="0.25">
      <c r="K44" s="1"/>
    </row>
    <row r="45" spans="2:14" ht="14.25" customHeight="1" x14ac:dyDescent="0.25"/>
    <row r="46" spans="2:14" ht="14.25" customHeight="1" x14ac:dyDescent="0.25"/>
    <row r="47" spans="2:14" ht="14.25" customHeight="1" x14ac:dyDescent="0.25"/>
    <row r="48" spans="2:14" ht="14.25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44.25" customHeight="1" x14ac:dyDescent="0.25">
      <c r="P84" s="102" t="s">
        <v>82</v>
      </c>
    </row>
    <row r="85" spans="15:16" ht="14.25" customHeight="1" x14ac:dyDescent="0.25">
      <c r="O85" s="2"/>
    </row>
    <row r="86" spans="15:16" ht="14.25" customHeight="1" x14ac:dyDescent="0.25"/>
    <row r="87" spans="15:16" ht="14.25" customHeight="1" x14ac:dyDescent="0.25"/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28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27</v>
      </c>
    </row>
    <row r="10" spans="2:3" x14ac:dyDescent="0.25">
      <c r="B10" t="s">
        <v>75</v>
      </c>
      <c r="C10" cm="1">
        <f t="array" ref="C10">CountValueWithColumnACondition("w(0)", "Piotr")</f>
        <v>31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47</v>
      </c>
    </row>
    <row r="13" spans="2:3" x14ac:dyDescent="0.25">
      <c r="B13" s="50" t="s">
        <v>41</v>
      </c>
      <c r="C13" cm="1">
        <f t="array" ref="C13">CountValueWithColumnACondition("w(15)", "Marcin")</f>
        <v>17</v>
      </c>
    </row>
    <row r="14" spans="2:3" x14ac:dyDescent="0.25">
      <c r="B14" s="50" t="s">
        <v>42</v>
      </c>
      <c r="C14" cm="1">
        <f t="array" ref="C14">CountValueWithColumnACondition("w(15)", "Rysiek")</f>
        <v>48</v>
      </c>
    </row>
    <row r="15" spans="2:3" x14ac:dyDescent="0.25">
      <c r="B15" s="89" t="s">
        <v>76</v>
      </c>
      <c r="C15" cm="1">
        <f t="array" ref="C15">CountValueWithColumnACondition("w(15)", "Piotr")</f>
        <v>46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52</v>
      </c>
    </row>
    <row r="18" spans="1:14" x14ac:dyDescent="0.25">
      <c r="B18" s="50" t="s">
        <v>38</v>
      </c>
      <c r="C18" cm="1">
        <f t="array" ref="C18">CountValueWithColumnACondition("w(30)", "Marcin")</f>
        <v>20</v>
      </c>
    </row>
    <row r="19" spans="1:14" x14ac:dyDescent="0.25">
      <c r="B19" s="50" t="s">
        <v>39</v>
      </c>
      <c r="C19" s="34" cm="1">
        <f t="array" ref="C19">CountValueWithColumnACondition("w(30)", "Rysiek")</f>
        <v>56</v>
      </c>
    </row>
    <row r="20" spans="1:14" x14ac:dyDescent="0.25">
      <c r="B20" s="89" t="s">
        <v>77</v>
      </c>
      <c r="C20" s="34" cm="1">
        <f t="array" ref="C20">CountValueWithColumnACondition("w(30)", "Piotr")</f>
        <v>64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67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62</v>
      </c>
    </row>
    <row r="25" spans="1:14" x14ac:dyDescent="0.25">
      <c r="B25" s="89" t="s">
        <v>78</v>
      </c>
      <c r="C25" cm="1">
        <f t="array" ref="C25">CountValueWithColumnACondition("w(z)", "Piotr")</f>
        <v>40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194</v>
      </c>
      <c r="F27" s="87"/>
    </row>
    <row r="28" spans="1:14" x14ac:dyDescent="0.25">
      <c r="A28" s="87"/>
      <c r="B28" s="53" t="s">
        <v>8</v>
      </c>
      <c r="C28">
        <f>SUM(C8,C13,C18,C23)</f>
        <v>83</v>
      </c>
      <c r="N28" s="111" t="s">
        <v>82</v>
      </c>
    </row>
    <row r="29" spans="1:14" x14ac:dyDescent="0.25">
      <c r="B29" s="53" t="s">
        <v>6</v>
      </c>
      <c r="C29">
        <f>SUM(C9,C14,C19,C24)</f>
        <v>193</v>
      </c>
    </row>
    <row r="30" spans="1:14" x14ac:dyDescent="0.25">
      <c r="B30" s="89" t="s">
        <v>67</v>
      </c>
      <c r="C30">
        <f>SUM(C10,C15,C20,C25)</f>
        <v>181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70</v>
      </c>
    </row>
    <row r="33" spans="2:3" x14ac:dyDescent="0.25">
      <c r="B33" s="51" t="s">
        <v>49</v>
      </c>
      <c r="C33" cm="1">
        <f t="array" ref="C33">CountWins("Marcin","Irek")</f>
        <v>42</v>
      </c>
    </row>
    <row r="34" spans="2:3" x14ac:dyDescent="0.25">
      <c r="B34" s="51" t="s">
        <v>52</v>
      </c>
      <c r="C34" cm="1">
        <f t="array" ref="C34">CountWins("Marcin","Rysiek")</f>
        <v>32</v>
      </c>
    </row>
    <row r="35" spans="2:3" x14ac:dyDescent="0.25">
      <c r="B35" s="51" t="s">
        <v>53</v>
      </c>
      <c r="C35" cm="1">
        <f t="array" ref="C35">CountWins("Rysiek","Marcin")</f>
        <v>68</v>
      </c>
    </row>
    <row r="36" spans="2:3" x14ac:dyDescent="0.25">
      <c r="B36" s="51" t="s">
        <v>50</v>
      </c>
      <c r="C36" cm="1">
        <f t="array" ref="C36">CountWins("Irek","Rysiek")</f>
        <v>72</v>
      </c>
    </row>
    <row r="37" spans="2:3" x14ac:dyDescent="0.25">
      <c r="B37" s="51" t="s">
        <v>51</v>
      </c>
      <c r="C37" cm="1">
        <f t="array" ref="C37">CountWins("Rysiek","Irek")</f>
        <v>88</v>
      </c>
    </row>
    <row r="38" spans="2:3" x14ac:dyDescent="0.25">
      <c r="B38" s="88" t="s">
        <v>69</v>
      </c>
      <c r="C38" cm="1">
        <f t="array" ref="C38">CountWins("Irek","Piotr")</f>
        <v>52</v>
      </c>
    </row>
    <row r="39" spans="2:3" x14ac:dyDescent="0.25">
      <c r="B39" s="88" t="s">
        <v>70</v>
      </c>
      <c r="C39" cm="1">
        <f t="array" ref="C39">CountWins("Piotr","Irek")</f>
        <v>66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39</v>
      </c>
    </row>
    <row r="43" spans="2:3" x14ac:dyDescent="0.25">
      <c r="B43" s="88" t="s">
        <v>74</v>
      </c>
      <c r="C43" cm="1">
        <f t="array" ref="C43">CountWins("Piotr","Rysiek")</f>
        <v>69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100</v>
      </c>
    </row>
    <row r="47" spans="2:3" x14ac:dyDescent="0.25">
      <c r="B47" s="53" t="s">
        <v>55</v>
      </c>
      <c r="C47" cm="1">
        <f t="array" ref="C47">CountCellsStartingWithWwhereColumnSorO("Irek","o")</f>
        <v>94</v>
      </c>
    </row>
    <row r="48" spans="2:3" x14ac:dyDescent="0.25">
      <c r="B48" s="53" t="s">
        <v>56</v>
      </c>
      <c r="C48" cm="1">
        <f t="array" ref="C48">CountCellsStartingWithWwhereColumnSorO("Rysiek","s")</f>
        <v>103</v>
      </c>
    </row>
    <row r="49" spans="2:3" x14ac:dyDescent="0.25">
      <c r="B49" s="53" t="s">
        <v>57</v>
      </c>
      <c r="C49" cm="1">
        <f t="array" ref="C49">CountCellsStartingWithWwhereColumnSorO("Rysiek","o")</f>
        <v>92</v>
      </c>
    </row>
    <row r="50" spans="2:3" x14ac:dyDescent="0.25">
      <c r="B50" s="53" t="s">
        <v>58</v>
      </c>
      <c r="C50" cm="1">
        <f t="array" ref="C50">CountCellsStartingWithWwhereColumnSorO("Marcin","s")</f>
        <v>41</v>
      </c>
    </row>
    <row r="51" spans="2:3" x14ac:dyDescent="0.25">
      <c r="B51" s="53" t="s">
        <v>59</v>
      </c>
      <c r="C51" cm="1">
        <f t="array" ref="C51">CountCellsStartingWithWwhereColumnSorO("Marcin","o")</f>
        <v>42</v>
      </c>
    </row>
    <row r="52" spans="2:3" x14ac:dyDescent="0.25">
      <c r="B52" s="89" t="s">
        <v>79</v>
      </c>
      <c r="C52" cm="1">
        <f t="array" ref="C52">CountCellsStartingWithWwhereColumnSorO("Piotr","s")</f>
        <v>85</v>
      </c>
    </row>
    <row r="53" spans="2:3" x14ac:dyDescent="0.25">
      <c r="B53" s="89" t="s">
        <v>80</v>
      </c>
      <c r="C53" cm="1">
        <f t="array" ref="C53">CountCellsStartingWithWwhereColumnSorO("Piotr","o")</f>
        <v>96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2026-07-26T09:11:06Z</dcterms:modified>
</cp:coreProperties>
</file>