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967" documentId="13_ncr:1_{32891C05-B7EF-4D94-B7C7-CC022DF648DD}" xr6:coauthVersionLast="47" xr6:coauthVersionMax="47" xr10:uidLastSave="{042B7B4A-B191-4464-8AE0-D0040D0B63B7}"/>
  <bookViews>
    <workbookView xWindow="-120" yWindow="-120" windowWidth="20730" windowHeight="11160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0" i="2" l="1"/>
  <c r="K40" i="2"/>
  <c r="K41" i="2" s="1"/>
  <c r="H40" i="2"/>
  <c r="H41" i="2" s="1"/>
  <c r="E40" i="2"/>
  <c r="N41" i="2"/>
  <c r="L41" i="2"/>
  <c r="I41" i="2"/>
  <c r="F41" i="2"/>
  <c r="E41" i="2"/>
  <c r="C41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6" i="86" l="1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4" i="17" a="1"/>
  <c r="C52" i="17" a="1"/>
  <c r="C7" i="17" a="1"/>
  <c r="C38" i="17" a="1"/>
  <c r="C51" i="17" a="1"/>
  <c r="C50" i="17" a="1"/>
  <c r="C10" i="17" a="1"/>
  <c r="C20" i="17" a="1"/>
  <c r="C15" i="17" a="1"/>
  <c r="C14" i="17" a="1"/>
  <c r="C53" i="17" a="1"/>
  <c r="C9" i="17" a="1"/>
  <c r="C19" i="17" a="1"/>
  <c r="C48" i="17" a="1"/>
  <c r="C49" i="17" a="1"/>
  <c r="C2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<sst xmlns="http://schemas.openxmlformats.org/spreadsheetml/2006/main" count="7787" uniqueCount="103">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</sst>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2"/>
  <sheetViews>
    <sheetView tabSelected="1" topLeftCell="B36" zoomScaleNormal="100" workbookViewId="0">
      <selection activeCell="N39" sqref="N39:N40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0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0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>VLOOKUP(J37,$D$6:$E$16,2,FALSE)+I37</f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>VLOOKUP(J38,$D$6:$E$16,2,FALSE)+I38</f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>
        <v>4</v>
      </c>
      <c r="K39" s="24">
        <f>VLOOKUP(J39,$D$6:$E$16,2,FALSE)+I39</f>
        <v>1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>VLOOKUP(J40,$D$6:$E$16,2,FALSE)+I40</f>
        <v>0</v>
      </c>
      <c r="L40" s="56">
        <v>9</v>
      </c>
      <c r="M40" s="62">
        <v>2</v>
      </c>
      <c r="N40" s="58">
        <f t="shared" si="3"/>
        <v>14</v>
      </c>
    </row>
    <row r="41" spans="2:14" ht="27.75" customHeight="1" x14ac:dyDescent="0.5">
      <c r="B41" s="25" t="s">
        <v>15</v>
      </c>
      <c r="C41" s="97">
        <f>SUM(C22:C40)</f>
        <v>169</v>
      </c>
      <c r="E41" s="101">
        <f>SUM(E22:E40)</f>
        <v>245</v>
      </c>
      <c r="F41" s="97">
        <f>SUM(F22:F40)</f>
        <v>172</v>
      </c>
      <c r="G41" s="96"/>
      <c r="H41" s="107">
        <f>SUM(H22:H40)</f>
        <v>258</v>
      </c>
      <c r="I41" s="97">
        <f>SUM(I22:I40)</f>
        <v>75</v>
      </c>
      <c r="J41" s="25"/>
      <c r="K41" s="108">
        <f>SUM(K22:K40)</f>
        <v>109</v>
      </c>
      <c r="L41" s="97">
        <f>SUM(L22:L40)</f>
        <v>171</v>
      </c>
      <c r="N41" s="112">
        <f>SUM(N22:N40)</f>
        <v>257</v>
      </c>
    </row>
    <row r="42" spans="2:14" ht="14.25" customHeight="1" x14ac:dyDescent="0.25">
      <c r="K42" s="1"/>
    </row>
    <row r="43" spans="2:14" ht="14.25" customHeight="1" x14ac:dyDescent="0.25"/>
    <row r="44" spans="2:14" ht="14.25" customHeight="1" x14ac:dyDescent="0.25"/>
    <row r="45" spans="2:14" ht="14.25" customHeight="1" x14ac:dyDescent="0.25"/>
    <row r="46" spans="2:14" ht="14.25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44.25" customHeight="1" x14ac:dyDescent="0.25">
      <c r="P82" s="102" t="s">
        <v>82</v>
      </c>
    </row>
    <row r="83" spans="15:16" ht="14.25" customHeight="1" x14ac:dyDescent="0.25">
      <c r="O83" s="2"/>
    </row>
    <row r="84" spans="15:16" ht="14.25" customHeight="1" x14ac:dyDescent="0.25"/>
    <row r="85" spans="15:16" ht="14.25" customHeight="1" x14ac:dyDescent="0.25"/>
    <row r="86" spans="15:16" ht="14.25" customHeight="1" x14ac:dyDescent="0.25"/>
    <row r="87" spans="15:16" ht="14.25" customHeight="1" x14ac:dyDescent="0.25"/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24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25</v>
      </c>
    </row>
    <row r="10" spans="2:3" x14ac:dyDescent="0.25">
      <c r="B10" t="s">
        <v>75</v>
      </c>
      <c r="C10" cm="1">
        <f t="array" ref="C10">CountValueWithColumnACondition("w(0)", "Piotr")</f>
        <v>27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38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43</v>
      </c>
    </row>
    <row r="15" spans="2:3" x14ac:dyDescent="0.25">
      <c r="B15" s="89" t="s">
        <v>76</v>
      </c>
      <c r="C15" cm="1">
        <f t="array" ref="C15">CountValueWithColumnACondition("w(15)", "Piotr")</f>
        <v>46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48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50</v>
      </c>
    </row>
    <row r="20" spans="1:14" x14ac:dyDescent="0.25">
      <c r="B20" s="89" t="s">
        <v>77</v>
      </c>
      <c r="C20" s="34" cm="1">
        <f t="array" ref="C20">CountValueWithColumnACondition("w(30)", "Piotr")</f>
        <v>60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59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52</v>
      </c>
    </row>
    <row r="25" spans="1:14" x14ac:dyDescent="0.25">
      <c r="B25" s="89" t="s">
        <v>78</v>
      </c>
      <c r="C25" cm="1">
        <f t="array" ref="C25">CountValueWithColumnACondition("w(z)", "Piotr")</f>
        <v>38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169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170</v>
      </c>
    </row>
    <row r="30" spans="1:14" x14ac:dyDescent="0.25">
      <c r="B30" s="89" t="s">
        <v>67</v>
      </c>
      <c r="C30">
        <f>SUM(C10,C15,C20,C25)</f>
        <v>171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64</v>
      </c>
    </row>
    <row r="37" spans="2:3" x14ac:dyDescent="0.25">
      <c r="B37" s="51" t="s">
        <v>51</v>
      </c>
      <c r="C37" cm="1">
        <f t="array" ref="C37">CountWins("Rysiek","Irek")</f>
        <v>80</v>
      </c>
    </row>
    <row r="38" spans="2:3" x14ac:dyDescent="0.25">
      <c r="B38" s="88" t="s">
        <v>69</v>
      </c>
      <c r="C38" cm="1">
        <f t="array" ref="C38">CountWins("Irek","Piotr")</f>
        <v>49</v>
      </c>
    </row>
    <row r="39" spans="2:3" x14ac:dyDescent="0.25">
      <c r="B39" s="88" t="s">
        <v>70</v>
      </c>
      <c r="C39" cm="1">
        <f t="array" ref="C39">CountWins("Piotr","Irek")</f>
        <v>63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35</v>
      </c>
    </row>
    <row r="43" spans="2:3" x14ac:dyDescent="0.25">
      <c r="B43" s="88" t="s">
        <v>74</v>
      </c>
      <c r="C43" cm="1">
        <f t="array" ref="C43">CountWins("Piotr","Rysiek")</f>
        <v>66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89</v>
      </c>
    </row>
    <row r="47" spans="2:3" x14ac:dyDescent="0.25">
      <c r="B47" s="53" t="s">
        <v>55</v>
      </c>
      <c r="C47" cm="1">
        <f t="array" ref="C47">CountCellsStartingWithWwhereColumnSorO("Irek","o")</f>
        <v>80</v>
      </c>
    </row>
    <row r="48" spans="2:3" x14ac:dyDescent="0.25">
      <c r="B48" s="53" t="s">
        <v>56</v>
      </c>
      <c r="C48" cm="1">
        <f t="array" ref="C48">CountCellsStartingWithWwhereColumnSorO("Rysiek","s")</f>
        <v>90</v>
      </c>
    </row>
    <row r="49" spans="2:3" x14ac:dyDescent="0.25">
      <c r="B49" s="53" t="s">
        <v>57</v>
      </c>
      <c r="C49" cm="1">
        <f t="array" ref="C49">CountCellsStartingWithWwhereColumnSorO("Rysiek","o")</f>
        <v>82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82</v>
      </c>
    </row>
    <row r="53" spans="2:3" x14ac:dyDescent="0.25">
      <c r="B53" s="89" t="s">
        <v>80</v>
      </c>
      <c r="C53" cm="1">
        <f t="array" ref="C53">CountCellsStartingWithWwhereColumnSorO("Piotr","o")</f>
        <v>89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2026-07-05T09:07:43Z</dcterms:modified>
</cp:coreProperties>
</file>