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504" documentId="13_ncr:1_{01A063F3-997C-4D1C-9898-A98279BCB518}" xr6:coauthVersionLast="47" xr6:coauthVersionMax="47" xr10:uidLastSave="{098B1248-9FB0-4E4D-8564-6A6A613C991B}"/>
  <bookViews>
    <workbookView xWindow="-120" yWindow="-120" windowWidth="20730" windowHeight="11160" firstSheet="2" activeTab="2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  <sheet name="prot_19_08_26" sheetId="91" r:id="rId29"/>
    <sheet name="prot_23_08_26" sheetId="94" r:id="rId30"/>
    <sheet name="prot_26_08_26" sheetId="95" r:id="rId31"/>
    <sheet name="prot_30_08_26" sheetId="96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8" i="2" l="1"/>
  <c r="K48" i="2"/>
  <c r="H48" i="2"/>
  <c r="E48" i="2"/>
  <c r="L49" i="2"/>
  <c r="I49" i="2"/>
  <c r="F49" i="2"/>
  <c r="C49" i="2"/>
  <c r="N84" i="96"/>
  <c r="N83" i="96"/>
  <c r="N82" i="96"/>
  <c r="N81" i="96"/>
  <c r="N77" i="96"/>
  <c r="N76" i="96"/>
  <c r="N75" i="96"/>
  <c r="N74" i="96"/>
  <c r="N70" i="96"/>
  <c r="N69" i="96"/>
  <c r="N68" i="96"/>
  <c r="N67" i="96"/>
  <c r="N63" i="96"/>
  <c r="N62" i="96"/>
  <c r="N61" i="96"/>
  <c r="N60" i="96"/>
  <c r="N56" i="96"/>
  <c r="N55" i="96"/>
  <c r="N54" i="96"/>
  <c r="N53" i="96"/>
  <c r="N49" i="96"/>
  <c r="N48" i="96"/>
  <c r="N47" i="96"/>
  <c r="N46" i="96"/>
  <c r="N42" i="96"/>
  <c r="N41" i="96"/>
  <c r="N40" i="96"/>
  <c r="N39" i="96"/>
  <c r="N35" i="96"/>
  <c r="N34" i="96"/>
  <c r="N33" i="96"/>
  <c r="N32" i="96"/>
  <c r="N28" i="96"/>
  <c r="N27" i="96"/>
  <c r="N26" i="96"/>
  <c r="N25" i="96"/>
  <c r="N21" i="96"/>
  <c r="N20" i="96"/>
  <c r="N19" i="96"/>
  <c r="N18" i="96"/>
  <c r="N14" i="96"/>
  <c r="N13" i="96"/>
  <c r="N12" i="96"/>
  <c r="N11" i="96"/>
  <c r="N7" i="96"/>
  <c r="N6" i="96"/>
  <c r="N5" i="96"/>
  <c r="N4" i="96"/>
  <c r="N47" i="2"/>
  <c r="K47" i="2"/>
  <c r="H47" i="2"/>
  <c r="E47" i="2"/>
  <c r="N84" i="95"/>
  <c r="N83" i="95"/>
  <c r="N82" i="95"/>
  <c r="N81" i="95"/>
  <c r="N77" i="95"/>
  <c r="N76" i="95"/>
  <c r="N75" i="95"/>
  <c r="N74" i="95"/>
  <c r="N70" i="95"/>
  <c r="N69" i="95"/>
  <c r="N68" i="95"/>
  <c r="N67" i="95"/>
  <c r="N63" i="95"/>
  <c r="N62" i="95"/>
  <c r="N61" i="95"/>
  <c r="N60" i="95"/>
  <c r="N56" i="95"/>
  <c r="N55" i="95"/>
  <c r="N54" i="95"/>
  <c r="N53" i="95"/>
  <c r="N49" i="95"/>
  <c r="N48" i="95"/>
  <c r="N47" i="95"/>
  <c r="N46" i="95"/>
  <c r="N42" i="95"/>
  <c r="N41" i="95"/>
  <c r="N40" i="95"/>
  <c r="N39" i="95"/>
  <c r="N35" i="95"/>
  <c r="N34" i="95"/>
  <c r="N33" i="95"/>
  <c r="N32" i="95"/>
  <c r="N28" i="95"/>
  <c r="N27" i="95"/>
  <c r="N26" i="95"/>
  <c r="N25" i="95"/>
  <c r="N21" i="95"/>
  <c r="N20" i="95"/>
  <c r="N19" i="95"/>
  <c r="N18" i="95"/>
  <c r="N14" i="95"/>
  <c r="N13" i="95"/>
  <c r="N12" i="95"/>
  <c r="N11" i="95"/>
  <c r="N7" i="95"/>
  <c r="N6" i="95"/>
  <c r="C88" i="95" s="1"/>
  <c r="N5" i="95"/>
  <c r="C87" i="95" s="1"/>
  <c r="N4" i="95"/>
  <c r="N46" i="2"/>
  <c r="K46" i="2"/>
  <c r="H46" i="2"/>
  <c r="E46" i="2"/>
  <c r="N84" i="94"/>
  <c r="N83" i="94"/>
  <c r="N82" i="94"/>
  <c r="N81" i="94"/>
  <c r="N77" i="94"/>
  <c r="N76" i="94"/>
  <c r="N75" i="94"/>
  <c r="N74" i="94"/>
  <c r="N70" i="94"/>
  <c r="N69" i="94"/>
  <c r="N68" i="94"/>
  <c r="N67" i="94"/>
  <c r="N63" i="94"/>
  <c r="N62" i="94"/>
  <c r="N61" i="94"/>
  <c r="N60" i="94"/>
  <c r="N56" i="94"/>
  <c r="N55" i="94"/>
  <c r="N54" i="94"/>
  <c r="N53" i="94"/>
  <c r="N49" i="94"/>
  <c r="N48" i="94"/>
  <c r="N47" i="94"/>
  <c r="N46" i="94"/>
  <c r="N42" i="94"/>
  <c r="N41" i="94"/>
  <c r="N40" i="94"/>
  <c r="N39" i="94"/>
  <c r="N35" i="94"/>
  <c r="N34" i="94"/>
  <c r="N33" i="94"/>
  <c r="N32" i="94"/>
  <c r="N28" i="94"/>
  <c r="N27" i="94"/>
  <c r="N26" i="94"/>
  <c r="N25" i="94"/>
  <c r="N21" i="94"/>
  <c r="N20" i="94"/>
  <c r="N19" i="94"/>
  <c r="N18" i="94"/>
  <c r="N14" i="94"/>
  <c r="N13" i="94"/>
  <c r="N12" i="94"/>
  <c r="N11" i="94"/>
  <c r="N7" i="94"/>
  <c r="N6" i="94"/>
  <c r="N5" i="94"/>
  <c r="C87" i="94" s="1"/>
  <c r="N4" i="94"/>
  <c r="N45" i="2"/>
  <c r="K45" i="2"/>
  <c r="H45" i="2"/>
  <c r="E45" i="2"/>
  <c r="N81" i="91"/>
  <c r="N82" i="91"/>
  <c r="N83" i="91"/>
  <c r="N84" i="91"/>
  <c r="N74" i="91"/>
  <c r="N75" i="91"/>
  <c r="N76" i="91"/>
  <c r="N77" i="91"/>
  <c r="N67" i="91"/>
  <c r="N68" i="91"/>
  <c r="N69" i="91"/>
  <c r="N70" i="91"/>
  <c r="N60" i="91"/>
  <c r="N61" i="91"/>
  <c r="N62" i="91"/>
  <c r="N63" i="91"/>
  <c r="N53" i="91"/>
  <c r="N54" i="91"/>
  <c r="N55" i="91"/>
  <c r="N56" i="91"/>
  <c r="N46" i="91"/>
  <c r="N47" i="91"/>
  <c r="N48" i="91"/>
  <c r="N49" i="91"/>
  <c r="N39" i="91"/>
  <c r="N40" i="91"/>
  <c r="N41" i="91"/>
  <c r="N42" i="91"/>
  <c r="N4" i="91"/>
  <c r="N5" i="91"/>
  <c r="N6" i="91"/>
  <c r="N7" i="91"/>
  <c r="N11" i="91"/>
  <c r="N12" i="91"/>
  <c r="N13" i="91"/>
  <c r="N14" i="91"/>
  <c r="N18" i="91"/>
  <c r="N19" i="91"/>
  <c r="N20" i="91"/>
  <c r="N21" i="91"/>
  <c r="N25" i="91"/>
  <c r="N26" i="91"/>
  <c r="N27" i="91"/>
  <c r="N28" i="91"/>
  <c r="N32" i="91"/>
  <c r="N33" i="91"/>
  <c r="N34" i="91"/>
  <c r="N35" i="91"/>
  <c r="N44" i="2"/>
  <c r="K44" i="2"/>
  <c r="H44" i="2"/>
  <c r="E44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N49" i="2" s="1"/>
  <c r="K23" i="2"/>
  <c r="H23" i="2"/>
  <c r="H49" i="2" s="1"/>
  <c r="E23" i="2"/>
  <c r="E49" i="2" s="1"/>
  <c r="K49" i="2" l="1"/>
  <c r="C88" i="96"/>
  <c r="C89" i="96"/>
  <c r="C87" i="96"/>
  <c r="C86" i="96"/>
  <c r="C89" i="95"/>
  <c r="C86" i="95"/>
  <c r="C87" i="91"/>
  <c r="C86" i="91"/>
  <c r="C89" i="91"/>
  <c r="C88" i="91"/>
  <c r="C89" i="94"/>
  <c r="C88" i="94"/>
  <c r="C86" i="94"/>
  <c r="C88" i="90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0" i="17" a="1"/>
  <c r="C10" i="17" a="1"/>
  <c r="C38" i="17" a="1"/>
  <c r="C14" i="17" a="1"/>
  <c r="C24" i="17" a="1"/>
  <c r="C49" i="17" a="1"/>
  <c r="C52" i="17" a="1"/>
  <c r="C19" i="17" a="1"/>
  <c r="C9" i="17" a="1"/>
  <c r="C53" i="17" a="1"/>
  <c r="C15" i="17" a="1"/>
  <c r="C7" i="17" a="1"/>
  <c r="C50" i="17" a="1"/>
  <c r="C48" i="17" a="1"/>
  <c r="C51" i="17" a="1"/>
  <c r="C2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<sst xmlns="http://schemas.openxmlformats.org/spreadsheetml/2006/main" count="11102" uniqueCount="103">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</sst>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06/relationships/rdRichValue" Target="richData/rdrichvalue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100"/>
  <sheetViews>
    <sheetView topLeftCell="B36" zoomScaleNormal="100" workbookViewId="0">
      <selection activeCell="B49" sqref="B49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ref="H41:H48" si="5"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46229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 t="shared" si="5"/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 t="shared" si="5"/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 t="shared" si="5"/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4" customHeight="1" x14ac:dyDescent="0.25">
      <c r="B45" s="113">
        <v>46253</v>
      </c>
      <c r="C45" s="13">
        <v>6</v>
      </c>
      <c r="D45" s="16">
        <v>3</v>
      </c>
      <c r="E45" s="22">
        <f>VLOOKUP(D45,$D$6:$E$16,2,FALSE)+C45</f>
        <v>9</v>
      </c>
      <c r="F45" s="14">
        <v>8</v>
      </c>
      <c r="G45" s="18">
        <v>2</v>
      </c>
      <c r="H45" s="23">
        <f t="shared" si="5"/>
        <v>13</v>
      </c>
      <c r="I45" s="15">
        <v>5</v>
      </c>
      <c r="J45" s="20">
        <v>4</v>
      </c>
      <c r="K45" s="24">
        <f>VLOOKUP(J45,$D$6:$E$16,2,FALSE)+I45</f>
        <v>6</v>
      </c>
      <c r="L45" s="56">
        <v>11</v>
      </c>
      <c r="M45" s="62">
        <v>1</v>
      </c>
      <c r="N45" s="58">
        <f>VLOOKUP(M45,$D$6:$E$16,2,FALSE)+L45</f>
        <v>18</v>
      </c>
    </row>
    <row r="46" spans="2:14" ht="24" customHeight="1" x14ac:dyDescent="0.25">
      <c r="B46" s="113">
        <v>46257</v>
      </c>
      <c r="C46" s="13">
        <v>12</v>
      </c>
      <c r="D46" s="16">
        <v>2</v>
      </c>
      <c r="E46" s="22">
        <f>VLOOKUP(D46,$D$6:$E$16,2,FALSE)+C46</f>
        <v>17</v>
      </c>
      <c r="F46" s="14">
        <v>12</v>
      </c>
      <c r="G46" s="18">
        <v>2</v>
      </c>
      <c r="H46" s="23">
        <f t="shared" si="5"/>
        <v>17</v>
      </c>
      <c r="I46" s="15">
        <v>3</v>
      </c>
      <c r="J46" s="20">
        <v>4</v>
      </c>
      <c r="K46" s="24">
        <f>VLOOKUP(J46,$D$6:$E$16,2,FALSE)+I46</f>
        <v>4</v>
      </c>
      <c r="L46" s="56">
        <v>15</v>
      </c>
      <c r="M46" s="62">
        <v>1</v>
      </c>
      <c r="N46" s="58">
        <f>VLOOKUP(M46,$D$6:$E$16,2,FALSE)+L46</f>
        <v>22</v>
      </c>
    </row>
    <row r="47" spans="2:14" ht="24" customHeight="1" x14ac:dyDescent="0.25">
      <c r="B47" s="113">
        <v>46260</v>
      </c>
      <c r="C47" s="13">
        <v>10</v>
      </c>
      <c r="D47" s="16">
        <v>2</v>
      </c>
      <c r="E47" s="22">
        <f>VLOOKUP(D47,$D$6:$E$16,2,FALSE)+C47</f>
        <v>15</v>
      </c>
      <c r="F47" s="14">
        <v>8</v>
      </c>
      <c r="G47" s="18">
        <v>3</v>
      </c>
      <c r="H47" s="23">
        <f t="shared" si="5"/>
        <v>11</v>
      </c>
      <c r="I47" s="15">
        <v>4</v>
      </c>
      <c r="J47" s="20">
        <v>4</v>
      </c>
      <c r="K47" s="24">
        <f>VLOOKUP(J47,$D$6:$E$16,2,FALSE)+I47</f>
        <v>5</v>
      </c>
      <c r="L47" s="56">
        <v>14</v>
      </c>
      <c r="M47" s="62">
        <v>1</v>
      </c>
      <c r="N47" s="58">
        <f>VLOOKUP(M47,$D$6:$E$16,2,FALSE)+L47</f>
        <v>21</v>
      </c>
    </row>
    <row r="48" spans="2:14" ht="24" customHeight="1" x14ac:dyDescent="0.25">
      <c r="B48" s="113">
        <v>46264</v>
      </c>
      <c r="C48" s="13">
        <v>11</v>
      </c>
      <c r="D48" s="16">
        <v>2</v>
      </c>
      <c r="E48" s="22">
        <f>VLOOKUP(D48,$D$6:$E$16,2,FALSE)+C48</f>
        <v>16</v>
      </c>
      <c r="F48" s="14">
        <v>7</v>
      </c>
      <c r="G48" s="18">
        <v>3</v>
      </c>
      <c r="H48" s="23">
        <f t="shared" si="5"/>
        <v>10</v>
      </c>
      <c r="I48" s="15">
        <v>3</v>
      </c>
      <c r="J48" s="20">
        <v>4</v>
      </c>
      <c r="K48" s="24">
        <f>VLOOKUP(J48,$D$6:$E$16,2,FALSE)+I48</f>
        <v>4</v>
      </c>
      <c r="L48" s="56">
        <v>15</v>
      </c>
      <c r="M48" s="62">
        <v>1</v>
      </c>
      <c r="N48" s="58">
        <f>VLOOKUP(M48,$D$6:$E$16,2,FALSE)+L48</f>
        <v>22</v>
      </c>
    </row>
    <row r="49" spans="2:14" ht="27.75" customHeight="1" x14ac:dyDescent="0.5">
      <c r="B49" s="25" t="s">
        <v>15</v>
      </c>
      <c r="C49" s="97">
        <f>SUM(C22:C48)</f>
        <v>256</v>
      </c>
      <c r="E49" s="101">
        <f>SUM(E22:E48)</f>
        <v>374</v>
      </c>
      <c r="F49" s="97">
        <f>SUM(F22:F48)</f>
        <v>249</v>
      </c>
      <c r="G49" s="96"/>
      <c r="H49" s="107">
        <f>SUM(H22:H48)</f>
        <v>373</v>
      </c>
      <c r="I49" s="97">
        <f>SUM(I22:I48)</f>
        <v>98</v>
      </c>
      <c r="J49" s="25"/>
      <c r="K49" s="108">
        <f>SUM(K22:K48)</f>
        <v>139</v>
      </c>
      <c r="L49" s="97">
        <f>SUM(L22:L48)</f>
        <v>257</v>
      </c>
      <c r="N49" s="112">
        <f>SUM(N22:N48)</f>
        <v>386</v>
      </c>
    </row>
    <row r="50" spans="2:14" ht="14.25" customHeight="1" x14ac:dyDescent="0.25">
      <c r="K50" s="1"/>
    </row>
    <row r="51" spans="2:14" ht="14.25" customHeight="1" x14ac:dyDescent="0.25"/>
    <row r="52" spans="2:14" ht="14.25" customHeight="1" x14ac:dyDescent="0.25"/>
    <row r="53" spans="2:14" ht="14.25" customHeight="1" x14ac:dyDescent="0.25"/>
    <row r="54" spans="2:14" ht="14.25" customHeight="1" x14ac:dyDescent="0.25"/>
    <row r="55" spans="2:14" ht="12.6" customHeight="1" x14ac:dyDescent="0.25"/>
    <row r="56" spans="2:14" ht="12.6" customHeight="1" x14ac:dyDescent="0.25"/>
    <row r="57" spans="2:14" ht="12.6" customHeight="1" x14ac:dyDescent="0.25"/>
    <row r="58" spans="2:14" ht="12.6" customHeight="1" x14ac:dyDescent="0.25"/>
    <row r="59" spans="2:14" ht="12.6" customHeight="1" x14ac:dyDescent="0.25"/>
    <row r="60" spans="2:14" ht="12.6" customHeight="1" x14ac:dyDescent="0.25"/>
    <row r="61" spans="2:14" ht="12.6" customHeight="1" x14ac:dyDescent="0.25"/>
    <row r="62" spans="2:14" ht="12.6" customHeight="1" x14ac:dyDescent="0.25"/>
    <row r="63" spans="2:14" ht="12.6" customHeight="1" x14ac:dyDescent="0.25"/>
    <row r="64" spans="2:1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12.6" customHeight="1" x14ac:dyDescent="0.25"/>
    <row r="87" spans="15:16" ht="12.6" customHeight="1" x14ac:dyDescent="0.25"/>
    <row r="88" spans="15:16" ht="12.6" customHeight="1" x14ac:dyDescent="0.25"/>
    <row r="89" spans="15:16" ht="12.6" customHeight="1" x14ac:dyDescent="0.25"/>
    <row r="90" spans="15:16" ht="44.25" customHeight="1" x14ac:dyDescent="0.25">
      <c r="P90" s="102" t="s">
        <v>82</v>
      </c>
    </row>
    <row r="91" spans="15:16" ht="14.25" customHeight="1" x14ac:dyDescent="0.25">
      <c r="O91" s="2"/>
    </row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  <row r="1097" ht="14.25" customHeight="1" x14ac:dyDescent="0.25"/>
    <row r="1098" ht="14.25" customHeight="1" x14ac:dyDescent="0.25"/>
    <row r="1099" ht="14.25" customHeight="1" x14ac:dyDescent="0.25"/>
    <row r="1100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tabSelected="1"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39</v>
      </c>
    </row>
    <row r="8" spans="2:3" x14ac:dyDescent="0.25">
      <c r="B8" t="s">
        <v>46</v>
      </c>
      <c r="C8" cm="1">
        <f t="array" ref="C8">CountValueWithColumnACondition("w(0)", "Marcin")</f>
        <v>13</v>
      </c>
    </row>
    <row r="9" spans="2:3" x14ac:dyDescent="0.25">
      <c r="B9" t="s">
        <v>47</v>
      </c>
      <c r="C9" cm="1">
        <f t="array" ref="C9">CountValueWithColumnACondition("w(0)", "Rysiek")</f>
        <v>35</v>
      </c>
    </row>
    <row r="10" spans="2:3" x14ac:dyDescent="0.25">
      <c r="B10" t="s">
        <v>75</v>
      </c>
      <c r="C10" cm="1">
        <f t="array" ref="C10">CountValueWithColumnACondition("w(0)", "Piotr")</f>
        <v>50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68</v>
      </c>
    </row>
    <row r="13" spans="2:3" x14ac:dyDescent="0.25">
      <c r="B13" s="50" t="s">
        <v>41</v>
      </c>
      <c r="C13" cm="1">
        <f t="array" ref="C13">CountValueWithColumnACondition("w(15)", "Marcin")</f>
        <v>19</v>
      </c>
    </row>
    <row r="14" spans="2:3" x14ac:dyDescent="0.25">
      <c r="B14" s="50" t="s">
        <v>42</v>
      </c>
      <c r="C14" cm="1">
        <f t="array" ref="C14">CountValueWithColumnACondition("w(15)", "Rysiek")</f>
        <v>59</v>
      </c>
    </row>
    <row r="15" spans="2:3" x14ac:dyDescent="0.25">
      <c r="B15" s="89" t="s">
        <v>76</v>
      </c>
      <c r="C15" cm="1">
        <f t="array" ref="C15">CountValueWithColumnACondition("w(15)", "Piotr")</f>
        <v>60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68</v>
      </c>
    </row>
    <row r="18" spans="1:14" x14ac:dyDescent="0.25">
      <c r="B18" s="50" t="s">
        <v>38</v>
      </c>
      <c r="C18" cm="1">
        <f t="array" ref="C18">CountValueWithColumnACondition("w(30)", "Marcin")</f>
        <v>28</v>
      </c>
    </row>
    <row r="19" spans="1:14" x14ac:dyDescent="0.25">
      <c r="B19" s="50" t="s">
        <v>39</v>
      </c>
      <c r="C19" s="34" cm="1">
        <f t="array" ref="C19">CountValueWithColumnACondition("w(30)", "Rysiek")</f>
        <v>77</v>
      </c>
    </row>
    <row r="20" spans="1:14" x14ac:dyDescent="0.25">
      <c r="B20" s="89" t="s">
        <v>77</v>
      </c>
      <c r="C20" s="34" cm="1">
        <f t="array" ref="C20">CountValueWithColumnACondition("w(30)", "Piotr")</f>
        <v>95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81</v>
      </c>
    </row>
    <row r="23" spans="1:14" x14ac:dyDescent="0.25">
      <c r="B23" s="50" t="s">
        <v>43</v>
      </c>
      <c r="C23" cm="1">
        <f t="array" ref="C23">CountValueWithColumnACondition("w(z)", "Marcin")</f>
        <v>38</v>
      </c>
    </row>
    <row r="24" spans="1:14" x14ac:dyDescent="0.25">
      <c r="B24" s="50" t="s">
        <v>44</v>
      </c>
      <c r="C24" cm="1">
        <f t="array" ref="C24">CountValueWithColumnACondition("w(z)", "Rysiek")</f>
        <v>76</v>
      </c>
    </row>
    <row r="25" spans="1:14" x14ac:dyDescent="0.25">
      <c r="B25" s="89" t="s">
        <v>78</v>
      </c>
      <c r="C25" cm="1">
        <f t="array" ref="C25">CountValueWithColumnACondition("w(z)", "Piotr")</f>
        <v>52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256</v>
      </c>
      <c r="F27" s="87"/>
    </row>
    <row r="28" spans="1:14" x14ac:dyDescent="0.25">
      <c r="A28" s="87"/>
      <c r="B28" s="53" t="s">
        <v>8</v>
      </c>
      <c r="C28">
        <f>SUM(C8,C13,C18,C23)</f>
        <v>98</v>
      </c>
      <c r="N28" s="111" t="s">
        <v>82</v>
      </c>
    </row>
    <row r="29" spans="1:14" x14ac:dyDescent="0.25">
      <c r="B29" s="53" t="s">
        <v>6</v>
      </c>
      <c r="C29">
        <f>SUM(C9,C14,C19,C24)</f>
        <v>247</v>
      </c>
    </row>
    <row r="30" spans="1:14" x14ac:dyDescent="0.25">
      <c r="B30" s="89" t="s">
        <v>67</v>
      </c>
      <c r="C30">
        <f>SUM(C10,C15,C20,C25)</f>
        <v>257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89</v>
      </c>
    </row>
    <row r="33" spans="2:3" x14ac:dyDescent="0.25">
      <c r="B33" s="51" t="s">
        <v>49</v>
      </c>
      <c r="C33" cm="1">
        <f t="array" ref="C33">CountWins("Marcin","Irek")</f>
        <v>47</v>
      </c>
    </row>
    <row r="34" spans="2:3" x14ac:dyDescent="0.25">
      <c r="B34" s="51" t="s">
        <v>52</v>
      </c>
      <c r="C34" cm="1">
        <f t="array" ref="C34">CountWins("Marcin","Rysiek")</f>
        <v>38</v>
      </c>
    </row>
    <row r="35" spans="2:3" x14ac:dyDescent="0.25">
      <c r="B35" s="51" t="s">
        <v>53</v>
      </c>
      <c r="C35" cm="1">
        <f t="array" ref="C35">CountWins("Rysiek","Marcin")</f>
        <v>86</v>
      </c>
    </row>
    <row r="36" spans="2:3" x14ac:dyDescent="0.25">
      <c r="B36" s="51" t="s">
        <v>50</v>
      </c>
      <c r="C36" cm="1">
        <f t="array" ref="C36">CountWins("Irek","Rysiek")</f>
        <v>99</v>
      </c>
    </row>
    <row r="37" spans="2:3" x14ac:dyDescent="0.25">
      <c r="B37" s="51" t="s">
        <v>51</v>
      </c>
      <c r="C37" cm="1">
        <f t="array" ref="C37">CountWins("Rysiek","Irek")</f>
        <v>106</v>
      </c>
    </row>
    <row r="38" spans="2:3" x14ac:dyDescent="0.25">
      <c r="B38" s="88" t="s">
        <v>69</v>
      </c>
      <c r="C38" cm="1">
        <f t="array" ref="C38">CountWins("Irek","Piotr")</f>
        <v>68</v>
      </c>
    </row>
    <row r="39" spans="2:3" x14ac:dyDescent="0.25">
      <c r="B39" s="88" t="s">
        <v>70</v>
      </c>
      <c r="C39" cm="1">
        <f t="array" ref="C39">CountWins("Piotr","Irek")</f>
        <v>95</v>
      </c>
    </row>
    <row r="40" spans="2:3" x14ac:dyDescent="0.25">
      <c r="B40" s="88" t="s">
        <v>71</v>
      </c>
      <c r="C40" cm="1">
        <f t="array" ref="C40">CountWins("MArcin","Piotr")</f>
        <v>13</v>
      </c>
    </row>
    <row r="41" spans="2:3" x14ac:dyDescent="0.25">
      <c r="B41" s="88" t="s">
        <v>72</v>
      </c>
      <c r="C41" cm="1">
        <f t="array" ref="C41">CountWins("Piotr","Marcin")</f>
        <v>66</v>
      </c>
    </row>
    <row r="42" spans="2:3" x14ac:dyDescent="0.25">
      <c r="B42" s="88" t="s">
        <v>73</v>
      </c>
      <c r="C42" cm="1">
        <f t="array" ref="C42">CountWins("Rysiek","Piotr")</f>
        <v>57</v>
      </c>
    </row>
    <row r="43" spans="2:3" x14ac:dyDescent="0.25">
      <c r="B43" s="88" t="s">
        <v>74</v>
      </c>
      <c r="C43" cm="1">
        <f t="array" ref="C43">CountWins("Piotr","Rysiek")</f>
        <v>96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133</v>
      </c>
    </row>
    <row r="47" spans="2:3" x14ac:dyDescent="0.25">
      <c r="B47" s="53" t="s">
        <v>55</v>
      </c>
      <c r="C47" cm="1">
        <f t="array" ref="C47">CountCellsStartingWithWwhereColumnSorO("Irek","o")</f>
        <v>123</v>
      </c>
    </row>
    <row r="48" spans="2:3" x14ac:dyDescent="0.25">
      <c r="B48" s="53" t="s">
        <v>56</v>
      </c>
      <c r="C48" cm="1">
        <f t="array" ref="C48">CountCellsStartingWithWwhereColumnSorO("Rysiek","s")</f>
        <v>131</v>
      </c>
    </row>
    <row r="49" spans="2:3" x14ac:dyDescent="0.25">
      <c r="B49" s="53" t="s">
        <v>57</v>
      </c>
      <c r="C49" cm="1">
        <f t="array" ref="C49">CountCellsStartingWithWwhereColumnSorO("Rysiek","o")</f>
        <v>118</v>
      </c>
    </row>
    <row r="50" spans="2:3" x14ac:dyDescent="0.25">
      <c r="B50" s="53" t="s">
        <v>58</v>
      </c>
      <c r="C50" cm="1">
        <f t="array" ref="C50">CountCellsStartingWithWwhereColumnSorO("Marcin","s")</f>
        <v>50</v>
      </c>
    </row>
    <row r="51" spans="2:3" x14ac:dyDescent="0.25">
      <c r="B51" s="53" t="s">
        <v>59</v>
      </c>
      <c r="C51" cm="1">
        <f t="array" ref="C51">CountCellsStartingWithWwhereColumnSorO("Marcin","o")</f>
        <v>48</v>
      </c>
    </row>
    <row r="52" spans="2:3" x14ac:dyDescent="0.25">
      <c r="B52" s="89" t="s">
        <v>79</v>
      </c>
      <c r="C52" cm="1">
        <f t="array" ref="C52">CountCellsStartingWithWwhereColumnSorO("Piotr","s")</f>
        <v>124</v>
      </c>
    </row>
    <row r="53" spans="2:3" x14ac:dyDescent="0.25">
      <c r="B53" s="89" t="s">
        <v>80</v>
      </c>
      <c r="C53" cm="1">
        <f t="array" ref="C53">CountCellsStartingWithWwhereColumnSorO("Piotr","o")</f>
        <v>133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8D8E5-F401-4BB4-B39C-9B6756246811}">
  <sheetPr codeName="Sheet84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85</v>
      </c>
      <c r="J21" s="67"/>
      <c r="K21" s="67"/>
      <c r="L21" s="67" t="s">
        <v>21</v>
      </c>
      <c r="M21" s="67" t="s">
        <v>84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85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 t="s">
        <v>84</v>
      </c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 t="s">
        <v>83</v>
      </c>
      <c r="H34" s="66"/>
      <c r="I34" s="66"/>
      <c r="J34" s="67" t="s">
        <v>21</v>
      </c>
      <c r="K34" s="67" t="s">
        <v>83</v>
      </c>
      <c r="L34" s="67"/>
      <c r="M34" s="67"/>
      <c r="N34" s="81">
        <f>COUNTIF(B34:M34,"w*")</f>
        <v>3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162B-BA09-4B23-B0A8-61B3047DF44B}">
  <sheetPr codeName="Sheet85"/>
  <dimension ref="A2:AF995"/>
  <sheetViews>
    <sheetView zoomScaleNormal="100" workbookViewId="0">
      <selection activeCell="M50" sqref="M5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 t="s">
        <v>83</v>
      </c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 t="s">
        <v>85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83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86</v>
      </c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3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 t="s">
        <v>82</v>
      </c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83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3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84</v>
      </c>
      <c r="D25" s="65"/>
      <c r="E25" s="65"/>
      <c r="F25" s="66"/>
      <c r="G25" s="66"/>
      <c r="H25" s="66" t="s">
        <v>20</v>
      </c>
      <c r="I25" s="66" t="s">
        <v>85</v>
      </c>
      <c r="J25" s="67" t="s">
        <v>21</v>
      </c>
      <c r="K25" s="67" t="s">
        <v>84</v>
      </c>
      <c r="L25" s="67"/>
      <c r="M25" s="67"/>
      <c r="N25" s="81">
        <f>COUNTIF(B25:M25,"w*")</f>
        <v>3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 t="s">
        <v>84</v>
      </c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 t="s">
        <v>84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 t="s">
        <v>85</v>
      </c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85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85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83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 t="s">
        <v>82</v>
      </c>
      <c r="H49" s="66" t="s">
        <v>20</v>
      </c>
      <c r="I49" s="66" t="s">
        <v>84</v>
      </c>
      <c r="J49" s="67"/>
      <c r="K49" s="67"/>
      <c r="L49" s="67" t="s">
        <v>21</v>
      </c>
      <c r="M49" s="67" t="s">
        <v>84</v>
      </c>
      <c r="N49" s="81">
        <f>COUNTIF(B49:M49,"w*")</f>
        <v>3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817F-A0BC-4861-A423-45B95FBA6279}">
  <sheetPr codeName="Sheet86"/>
  <dimension ref="A2:AF995"/>
  <sheetViews>
    <sheetView topLeftCell="A80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86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 t="s">
        <v>84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66" t="s">
        <v>21</v>
      </c>
      <c r="G12" s="66" t="s">
        <v>83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2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84</v>
      </c>
      <c r="F14" s="66"/>
      <c r="G14" s="66" t="s">
        <v>82</v>
      </c>
      <c r="H14" s="66" t="s">
        <v>21</v>
      </c>
      <c r="I14" s="66" t="s">
        <v>84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 t="s">
        <v>83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84</v>
      </c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3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83</v>
      </c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 t="s">
        <v>83</v>
      </c>
      <c r="H27" s="66"/>
      <c r="I27" s="66"/>
      <c r="J27" s="67" t="s">
        <v>20</v>
      </c>
      <c r="K27" s="67"/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83</v>
      </c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85</v>
      </c>
      <c r="D39" s="65"/>
      <c r="E39" s="65"/>
      <c r="F39" s="66"/>
      <c r="G39" s="66"/>
      <c r="H39" s="66" t="s">
        <v>20</v>
      </c>
      <c r="I39" s="66" t="s">
        <v>86</v>
      </c>
      <c r="J39" s="67" t="s">
        <v>21</v>
      </c>
      <c r="K39" s="67" t="s">
        <v>84</v>
      </c>
      <c r="L39" s="67"/>
      <c r="M39" s="67"/>
      <c r="N39" s="81">
        <f>COUNTIF(B39:M39,"w*")</f>
        <v>3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84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E55EB-1D79-4D63-A152-137D4FFE1B60}">
  <sheetPr codeName="Sheet87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 t="s">
        <v>83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86</v>
      </c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 t="s">
        <v>82</v>
      </c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84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83</v>
      </c>
      <c r="H20" s="66"/>
      <c r="I20" s="66"/>
      <c r="J20" s="67" t="s">
        <v>21</v>
      </c>
      <c r="K20" s="67" t="s">
        <v>84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85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86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 t="s">
        <v>84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 t="s">
        <v>86</v>
      </c>
      <c r="N28" s="81">
        <f>COUNTIF(B28:M28,"w*")</f>
        <v>3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85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85</v>
      </c>
      <c r="F34" s="66" t="s">
        <v>21</v>
      </c>
      <c r="G34" s="66" t="s">
        <v>84</v>
      </c>
      <c r="H34" s="66"/>
      <c r="I34" s="66"/>
      <c r="J34" s="67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 t="s">
        <v>85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84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86</v>
      </c>
      <c r="J42" s="67"/>
      <c r="K42" s="67"/>
      <c r="L42" s="67" t="s">
        <v>20</v>
      </c>
      <c r="M42" s="67" t="s">
        <v>85</v>
      </c>
      <c r="N42" s="81">
        <f>COUNTIF(B42:M42,"w*")</f>
        <v>3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15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  <vt:lpstr>prot_19_08_26</vt:lpstr>
      <vt:lpstr>prot_23_08_26</vt:lpstr>
      <vt:lpstr>prot_26_08_26</vt:lpstr>
      <vt:lpstr>prot_30_08_26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2026-08-30T09:21:00Z</dcterms:modified>
</cp:coreProperties>
</file>