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691" documentId="13_ncr:1_{01A063F3-997C-4D1C-9898-A98279BCB518}" xr6:coauthVersionLast="47" xr6:coauthVersionMax="47" xr10:uidLastSave="{8CD3DDCE-05D0-49C8-BFF5-429B8A9BC472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  <sheet name="prot_26_08_26" sheetId="95" r:id="rId31"/>
    <sheet name="prot_30_08_26" sheetId="96" r:id="rId32"/>
    <sheet name="prot_13_09_26" sheetId="97" r:id="rId33"/>
    <sheet name="prot_20_09_26" sheetId="98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0" i="2" l="1"/>
  <c r="K50" i="2"/>
  <c r="H50" i="2"/>
  <c r="E50" i="2"/>
  <c r="L51" i="2"/>
  <c r="I51" i="2"/>
  <c r="F51" i="2"/>
  <c r="C51" i="2"/>
  <c r="N84" i="98"/>
  <c r="N83" i="98"/>
  <c r="N82" i="98"/>
  <c r="N81" i="98"/>
  <c r="N77" i="98"/>
  <c r="N76" i="98"/>
  <c r="N75" i="98"/>
  <c r="N74" i="98"/>
  <c r="N70" i="98"/>
  <c r="N69" i="98"/>
  <c r="N68" i="98"/>
  <c r="N67" i="98"/>
  <c r="N63" i="98"/>
  <c r="N62" i="98"/>
  <c r="N61" i="98"/>
  <c r="N60" i="98"/>
  <c r="N56" i="98"/>
  <c r="N55" i="98"/>
  <c r="N54" i="98"/>
  <c r="N53" i="98"/>
  <c r="N49" i="98"/>
  <c r="N48" i="98"/>
  <c r="N47" i="98"/>
  <c r="N46" i="98"/>
  <c r="N42" i="98"/>
  <c r="N41" i="98"/>
  <c r="N40" i="98"/>
  <c r="N39" i="98"/>
  <c r="N35" i="98"/>
  <c r="N34" i="98"/>
  <c r="N33" i="98"/>
  <c r="N32" i="98"/>
  <c r="N28" i="98"/>
  <c r="N27" i="98"/>
  <c r="N26" i="98"/>
  <c r="N25" i="98"/>
  <c r="N21" i="98"/>
  <c r="N20" i="98"/>
  <c r="N19" i="98"/>
  <c r="N18" i="98"/>
  <c r="N14" i="98"/>
  <c r="N13" i="98"/>
  <c r="N12" i="98"/>
  <c r="N11" i="98"/>
  <c r="N7" i="98"/>
  <c r="N6" i="98"/>
  <c r="N5" i="98"/>
  <c r="N4" i="98"/>
  <c r="N49" i="2"/>
  <c r="K49" i="2"/>
  <c r="H49" i="2"/>
  <c r="E49" i="2"/>
  <c r="N84" i="97"/>
  <c r="N83" i="97"/>
  <c r="N82" i="97"/>
  <c r="N81" i="97"/>
  <c r="N77" i="97"/>
  <c r="N76" i="97"/>
  <c r="N75" i="97"/>
  <c r="N74" i="97"/>
  <c r="N70" i="97"/>
  <c r="N69" i="97"/>
  <c r="N68" i="97"/>
  <c r="N67" i="97"/>
  <c r="N63" i="97"/>
  <c r="N62" i="97"/>
  <c r="N61" i="97"/>
  <c r="N60" i="97"/>
  <c r="N56" i="97"/>
  <c r="N55" i="97"/>
  <c r="N54" i="97"/>
  <c r="N53" i="97"/>
  <c r="N49" i="97"/>
  <c r="N48" i="97"/>
  <c r="N47" i="97"/>
  <c r="N46" i="97"/>
  <c r="N42" i="97"/>
  <c r="N41" i="97"/>
  <c r="N40" i="97"/>
  <c r="N39" i="97"/>
  <c r="N35" i="97"/>
  <c r="N34" i="97"/>
  <c r="N33" i="97"/>
  <c r="N32" i="97"/>
  <c r="N28" i="97"/>
  <c r="N27" i="97"/>
  <c r="N26" i="97"/>
  <c r="N25" i="97"/>
  <c r="N21" i="97"/>
  <c r="N20" i="97"/>
  <c r="N19" i="97"/>
  <c r="N18" i="97"/>
  <c r="N14" i="97"/>
  <c r="N13" i="97"/>
  <c r="N12" i="97"/>
  <c r="N11" i="97"/>
  <c r="N7" i="97"/>
  <c r="N6" i="97"/>
  <c r="C88" i="97" s="1"/>
  <c r="N5" i="97"/>
  <c r="N4" i="97"/>
  <c r="N48" i="2"/>
  <c r="K48" i="2"/>
  <c r="H48" i="2"/>
  <c r="E48" i="2"/>
  <c r="N84" i="96"/>
  <c r="N83" i="96"/>
  <c r="N82" i="96"/>
  <c r="N81" i="96"/>
  <c r="N77" i="96"/>
  <c r="N76" i="96"/>
  <c r="N75" i="96"/>
  <c r="N74" i="96"/>
  <c r="N70" i="96"/>
  <c r="N69" i="96"/>
  <c r="N68" i="96"/>
  <c r="N67" i="96"/>
  <c r="N63" i="96"/>
  <c r="N62" i="96"/>
  <c r="N61" i="96"/>
  <c r="N60" i="96"/>
  <c r="N56" i="96"/>
  <c r="N55" i="96"/>
  <c r="N54" i="96"/>
  <c r="N53" i="96"/>
  <c r="N49" i="96"/>
  <c r="N48" i="96"/>
  <c r="N47" i="96"/>
  <c r="N46" i="96"/>
  <c r="N42" i="96"/>
  <c r="N41" i="96"/>
  <c r="N40" i="96"/>
  <c r="N39" i="96"/>
  <c r="N35" i="96"/>
  <c r="N34" i="96"/>
  <c r="N33" i="96"/>
  <c r="N32" i="96"/>
  <c r="N28" i="96"/>
  <c r="N27" i="96"/>
  <c r="N26" i="96"/>
  <c r="N25" i="96"/>
  <c r="N21" i="96"/>
  <c r="N20" i="96"/>
  <c r="N19" i="96"/>
  <c r="N18" i="96"/>
  <c r="N14" i="96"/>
  <c r="N13" i="96"/>
  <c r="N12" i="96"/>
  <c r="N11" i="96"/>
  <c r="N7" i="96"/>
  <c r="N6" i="96"/>
  <c r="N5" i="96"/>
  <c r="N4" i="96"/>
  <c r="N47" i="2"/>
  <c r="K47" i="2"/>
  <c r="H47" i="2"/>
  <c r="E47" i="2"/>
  <c r="N84" i="95"/>
  <c r="N83" i="95"/>
  <c r="N82" i="95"/>
  <c r="N81" i="95"/>
  <c r="N77" i="95"/>
  <c r="N76" i="95"/>
  <c r="N75" i="95"/>
  <c r="N74" i="95"/>
  <c r="N70" i="95"/>
  <c r="N69" i="95"/>
  <c r="N68" i="95"/>
  <c r="N67" i="95"/>
  <c r="N63" i="95"/>
  <c r="N62" i="95"/>
  <c r="N61" i="95"/>
  <c r="N60" i="95"/>
  <c r="N56" i="95"/>
  <c r="N55" i="95"/>
  <c r="N54" i="95"/>
  <c r="N53" i="95"/>
  <c r="N49" i="95"/>
  <c r="N48" i="95"/>
  <c r="N47" i="95"/>
  <c r="N46" i="95"/>
  <c r="N42" i="95"/>
  <c r="N41" i="95"/>
  <c r="N40" i="95"/>
  <c r="N39" i="95"/>
  <c r="N35" i="95"/>
  <c r="N34" i="95"/>
  <c r="N33" i="95"/>
  <c r="N32" i="95"/>
  <c r="N28" i="95"/>
  <c r="N27" i="95"/>
  <c r="N26" i="95"/>
  <c r="N25" i="95"/>
  <c r="N21" i="95"/>
  <c r="N20" i="95"/>
  <c r="N19" i="95"/>
  <c r="N18" i="95"/>
  <c r="N14" i="95"/>
  <c r="N13" i="95"/>
  <c r="N12" i="95"/>
  <c r="N11" i="95"/>
  <c r="N7" i="95"/>
  <c r="N6" i="95"/>
  <c r="C88" i="95" s="1"/>
  <c r="N5" i="95"/>
  <c r="C87" i="95" s="1"/>
  <c r="N4" i="95"/>
  <c r="N46" i="2"/>
  <c r="K46" i="2"/>
  <c r="H46" i="2"/>
  <c r="E46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K51" i="2" s="1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51" i="2" s="1"/>
  <c r="K23" i="2"/>
  <c r="H23" i="2"/>
  <c r="H51" i="2" s="1"/>
  <c r="E23" i="2"/>
  <c r="E51" i="2" s="1"/>
  <c r="C87" i="98" l="1"/>
  <c r="C88" i="98"/>
  <c r="C86" i="98"/>
  <c r="C89" i="98"/>
  <c r="C89" i="97"/>
  <c r="C87" i="97"/>
  <c r="C86" i="97"/>
  <c r="C88" i="96"/>
  <c r="C89" i="96"/>
  <c r="C87" i="96"/>
  <c r="C86" i="96"/>
  <c r="C89" i="95"/>
  <c r="C86" i="95"/>
  <c r="C87" i="91"/>
  <c r="C86" i="91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0" i="17" a="1"/>
  <c r="C49" i="17" a="1"/>
  <c r="C15" i="17" a="1"/>
  <c r="C51" i="17" a="1"/>
  <c r="C38" i="17" a="1"/>
  <c r="C52" i="17" a="1"/>
  <c r="C7" i="17" a="1"/>
  <c r="C25" i="17" a="1"/>
  <c r="C14" i="17" a="1"/>
  <c r="C19" i="17" a="1"/>
  <c r="C9" i="17" a="1"/>
  <c r="C50" i="17" a="1"/>
  <c r="C20" i="17" a="1"/>
  <c r="C24" i="17" a="1"/>
  <c r="C48" i="17" a="1"/>
  <c r="C53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<sst xmlns="http://schemas.openxmlformats.org/spreadsheetml/2006/main" count="11931" uniqueCount="104">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</sst>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" Target="richData/rdrichvalue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102"/>
  <sheetViews>
    <sheetView tabSelected="1" topLeftCell="B38" zoomScaleNormal="100" workbookViewId="0">
      <selection activeCell="C50" sqref="C50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50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 t="shared" ref="E45:E50" si="6"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 t="shared" ref="K45:K50" si="7">VLOOKUP(J45,$D$6:$E$16,2,FALSE)+I45</f>
        <v>6</v>
      </c>
      <c r="L45" s="56">
        <v>11</v>
      </c>
      <c r="M45" s="62">
        <v>1</v>
      </c>
      <c r="N45" s="58">
        <f t="shared" ref="N45:N50" si="8"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 t="shared" si="6"/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 t="shared" si="7"/>
        <v>4</v>
      </c>
      <c r="L46" s="56">
        <v>15</v>
      </c>
      <c r="M46" s="62">
        <v>1</v>
      </c>
      <c r="N46" s="58">
        <f t="shared" si="8"/>
        <v>22</v>
      </c>
    </row>
    <row r="47" spans="2:14" ht="24" customHeight="1" x14ac:dyDescent="0.25">
      <c r="B47" s="113">
        <v>46260</v>
      </c>
      <c r="C47" s="13">
        <v>10</v>
      </c>
      <c r="D47" s="16">
        <v>2</v>
      </c>
      <c r="E47" s="22">
        <f t="shared" si="6"/>
        <v>15</v>
      </c>
      <c r="F47" s="14">
        <v>8</v>
      </c>
      <c r="G47" s="18">
        <v>3</v>
      </c>
      <c r="H47" s="23">
        <f t="shared" si="5"/>
        <v>11</v>
      </c>
      <c r="I47" s="15">
        <v>4</v>
      </c>
      <c r="J47" s="20">
        <v>4</v>
      </c>
      <c r="K47" s="24">
        <f t="shared" si="7"/>
        <v>5</v>
      </c>
      <c r="L47" s="56">
        <v>14</v>
      </c>
      <c r="M47" s="62">
        <v>1</v>
      </c>
      <c r="N47" s="58">
        <f t="shared" si="8"/>
        <v>21</v>
      </c>
    </row>
    <row r="48" spans="2:14" ht="24" customHeight="1" x14ac:dyDescent="0.25">
      <c r="B48" s="113">
        <v>46264</v>
      </c>
      <c r="C48" s="13">
        <v>11</v>
      </c>
      <c r="D48" s="16">
        <v>2</v>
      </c>
      <c r="E48" s="22">
        <f t="shared" si="6"/>
        <v>16</v>
      </c>
      <c r="F48" s="14">
        <v>7</v>
      </c>
      <c r="G48" s="18">
        <v>3</v>
      </c>
      <c r="H48" s="23">
        <f t="shared" si="5"/>
        <v>10</v>
      </c>
      <c r="I48" s="15">
        <v>3</v>
      </c>
      <c r="J48" s="20">
        <v>4</v>
      </c>
      <c r="K48" s="24">
        <f t="shared" si="7"/>
        <v>4</v>
      </c>
      <c r="L48" s="56">
        <v>15</v>
      </c>
      <c r="M48" s="62">
        <v>1</v>
      </c>
      <c r="N48" s="58">
        <f t="shared" si="8"/>
        <v>22</v>
      </c>
    </row>
    <row r="49" spans="2:14" ht="24" customHeight="1" x14ac:dyDescent="0.25">
      <c r="B49" s="113">
        <v>46278</v>
      </c>
      <c r="C49" s="13">
        <v>9</v>
      </c>
      <c r="D49" s="16">
        <v>2</v>
      </c>
      <c r="E49" s="22">
        <f t="shared" si="6"/>
        <v>14</v>
      </c>
      <c r="F49" s="14">
        <v>6</v>
      </c>
      <c r="G49" s="18">
        <v>3</v>
      </c>
      <c r="H49" s="23">
        <f t="shared" si="5"/>
        <v>9</v>
      </c>
      <c r="I49" s="15">
        <v>0</v>
      </c>
      <c r="J49" s="20" t="s">
        <v>66</v>
      </c>
      <c r="K49" s="24">
        <f t="shared" si="7"/>
        <v>0</v>
      </c>
      <c r="L49" s="56">
        <v>15</v>
      </c>
      <c r="M49" s="62">
        <v>1</v>
      </c>
      <c r="N49" s="58">
        <f t="shared" si="8"/>
        <v>22</v>
      </c>
    </row>
    <row r="50" spans="2:14" ht="24" customHeight="1" x14ac:dyDescent="0.25">
      <c r="B50" s="113">
        <v>46285</v>
      </c>
      <c r="C50" s="13">
        <v>10</v>
      </c>
      <c r="D50" s="16">
        <v>3</v>
      </c>
      <c r="E50" s="22">
        <f t="shared" si="6"/>
        <v>13</v>
      </c>
      <c r="F50" s="14">
        <v>13</v>
      </c>
      <c r="G50" s="18">
        <v>1</v>
      </c>
      <c r="H50" s="23">
        <f t="shared" si="5"/>
        <v>20</v>
      </c>
      <c r="I50" s="15">
        <v>2</v>
      </c>
      <c r="J50" s="20">
        <v>4</v>
      </c>
      <c r="K50" s="24">
        <f t="shared" si="7"/>
        <v>3</v>
      </c>
      <c r="L50" s="56">
        <v>11</v>
      </c>
      <c r="M50" s="62">
        <v>2</v>
      </c>
      <c r="N50" s="58">
        <f t="shared" si="8"/>
        <v>16</v>
      </c>
    </row>
    <row r="51" spans="2:14" ht="27.75" customHeight="1" x14ac:dyDescent="0.5">
      <c r="B51" s="25" t="s">
        <v>15</v>
      </c>
      <c r="C51" s="97">
        <f>SUM(C22:C50)</f>
        <v>275</v>
      </c>
      <c r="E51" s="101">
        <f>SUM(E22:E50)</f>
        <v>401</v>
      </c>
      <c r="F51" s="97">
        <f>SUM(F22:F50)</f>
        <v>268</v>
      </c>
      <c r="G51" s="96"/>
      <c r="H51" s="107">
        <f>SUM(H22:H50)</f>
        <v>402</v>
      </c>
      <c r="I51" s="97">
        <f>SUM(I22:I50)</f>
        <v>100</v>
      </c>
      <c r="J51" s="25"/>
      <c r="K51" s="108">
        <f>SUM(K22:K50)</f>
        <v>142</v>
      </c>
      <c r="L51" s="97">
        <f>SUM(L22:L50)</f>
        <v>283</v>
      </c>
      <c r="N51" s="112">
        <f>SUM(N22:N50)</f>
        <v>424</v>
      </c>
    </row>
    <row r="52" spans="2:14" ht="14.25" customHeight="1" x14ac:dyDescent="0.25">
      <c r="K52" s="1"/>
    </row>
    <row r="53" spans="2:14" ht="14.25" customHeight="1" x14ac:dyDescent="0.25"/>
    <row r="54" spans="2:14" ht="14.25" customHeight="1" x14ac:dyDescent="0.25"/>
    <row r="55" spans="2:14" ht="14.25" customHeight="1" x14ac:dyDescent="0.25"/>
    <row r="56" spans="2:14" ht="14.25" customHeight="1" x14ac:dyDescent="0.25"/>
    <row r="57" spans="2:14" ht="12.6" customHeight="1" x14ac:dyDescent="0.25"/>
    <row r="58" spans="2:14" ht="12.6" customHeight="1" x14ac:dyDescent="0.25"/>
    <row r="59" spans="2:14" ht="12.6" customHeight="1" x14ac:dyDescent="0.25"/>
    <row r="60" spans="2:14" ht="12.6" customHeight="1" x14ac:dyDescent="0.25"/>
    <row r="61" spans="2:14" ht="12.6" customHeight="1" x14ac:dyDescent="0.25"/>
    <row r="62" spans="2:14" ht="12.6" customHeight="1" x14ac:dyDescent="0.25"/>
    <row r="63" spans="2:14" ht="12.6" customHeight="1" x14ac:dyDescent="0.25"/>
    <row r="64" spans="2:1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12.6" customHeight="1" x14ac:dyDescent="0.25"/>
    <row r="89" spans="15:16" ht="12.6" customHeight="1" x14ac:dyDescent="0.25"/>
    <row r="90" spans="15:16" ht="12.6" customHeight="1" x14ac:dyDescent="0.25"/>
    <row r="91" spans="15:16" ht="12.6" customHeight="1" x14ac:dyDescent="0.25"/>
    <row r="92" spans="15:16" ht="44.25" customHeight="1" x14ac:dyDescent="0.25">
      <c r="P92" s="102" t="s">
        <v>82</v>
      </c>
    </row>
    <row r="93" spans="15:16" ht="14.25" customHeight="1" x14ac:dyDescent="0.25">
      <c r="O93" s="2"/>
    </row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  <row r="1099" ht="14.25" customHeight="1" x14ac:dyDescent="0.25"/>
    <row r="1100" ht="14.25" customHeight="1" x14ac:dyDescent="0.25"/>
    <row r="1101" ht="14.25" customHeight="1" x14ac:dyDescent="0.25"/>
    <row r="1102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42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41</v>
      </c>
    </row>
    <row r="10" spans="2:3" x14ac:dyDescent="0.25">
      <c r="B10" t="s">
        <v>75</v>
      </c>
      <c r="C10" cm="1">
        <f t="array" ref="C10">CountValueWithColumnACondition("w(0)", "Piotr")</f>
        <v>54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74</v>
      </c>
    </row>
    <row r="13" spans="2:3" x14ac:dyDescent="0.25">
      <c r="B13" s="50" t="s">
        <v>41</v>
      </c>
      <c r="C13" cm="1">
        <f t="array" ref="C13">CountValueWithColumnACondition("w(15)", "Marcin")</f>
        <v>20</v>
      </c>
    </row>
    <row r="14" spans="2:3" x14ac:dyDescent="0.25">
      <c r="B14" s="50" t="s">
        <v>42</v>
      </c>
      <c r="C14" cm="1">
        <f t="array" ref="C14">CountValueWithColumnACondition("w(15)", "Rysiek")</f>
        <v>63</v>
      </c>
    </row>
    <row r="15" spans="2:3" x14ac:dyDescent="0.25">
      <c r="B15" s="89" t="s">
        <v>76</v>
      </c>
      <c r="C15" cm="1">
        <f t="array" ref="C15">CountValueWithColumnACondition("w(15)", "Piotr")</f>
        <v>66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74</v>
      </c>
    </row>
    <row r="18" spans="1:14" x14ac:dyDescent="0.25">
      <c r="B18" s="50" t="s">
        <v>38</v>
      </c>
      <c r="C18" cm="1">
        <f t="array" ref="C18">CountValueWithColumnACondition("w(30)", "Marcin")</f>
        <v>28</v>
      </c>
    </row>
    <row r="19" spans="1:14" x14ac:dyDescent="0.25">
      <c r="B19" s="50" t="s">
        <v>39</v>
      </c>
      <c r="C19" s="34" cm="1">
        <f t="array" ref="C19">CountValueWithColumnACondition("w(30)", "Rysiek")</f>
        <v>83</v>
      </c>
    </row>
    <row r="20" spans="1:14" x14ac:dyDescent="0.25">
      <c r="B20" s="89" t="s">
        <v>77</v>
      </c>
      <c r="C20" s="34" cm="1">
        <f t="array" ref="C20">CountValueWithColumnACondition("w(30)", "Piotr")</f>
        <v>103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85</v>
      </c>
    </row>
    <row r="23" spans="1:14" x14ac:dyDescent="0.25">
      <c r="B23" s="50" t="s">
        <v>43</v>
      </c>
      <c r="C23" cm="1">
        <f t="array" ref="C23">CountValueWithColumnACondition("w(z)", "Marcin")</f>
        <v>39</v>
      </c>
    </row>
    <row r="24" spans="1:14" x14ac:dyDescent="0.25">
      <c r="B24" s="50" t="s">
        <v>44</v>
      </c>
      <c r="C24" cm="1">
        <f t="array" ref="C24">CountValueWithColumnACondition("w(z)", "Rysiek")</f>
        <v>79</v>
      </c>
    </row>
    <row r="25" spans="1:14" x14ac:dyDescent="0.25">
      <c r="B25" s="89" t="s">
        <v>78</v>
      </c>
      <c r="C25" cm="1">
        <f t="array" ref="C25">CountValueWithColumnACondition("w(z)", "Piotr")</f>
        <v>60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275</v>
      </c>
      <c r="F27" s="87"/>
    </row>
    <row r="28" spans="1:14" x14ac:dyDescent="0.25">
      <c r="A28" s="87"/>
      <c r="B28" s="53" t="s">
        <v>8</v>
      </c>
      <c r="C28">
        <f>SUM(C8,C13,C18,C23)</f>
        <v>100</v>
      </c>
      <c r="N28" s="111" t="s">
        <v>82</v>
      </c>
    </row>
    <row r="29" spans="1:14" x14ac:dyDescent="0.25">
      <c r="B29" s="53" t="s">
        <v>6</v>
      </c>
      <c r="C29">
        <f>SUM(C9,C14,C19,C24)</f>
        <v>266</v>
      </c>
    </row>
    <row r="30" spans="1:14" x14ac:dyDescent="0.25">
      <c r="B30" s="89" t="s">
        <v>67</v>
      </c>
      <c r="C30">
        <f>SUM(C10,C15,C20,C25)</f>
        <v>283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93</v>
      </c>
    </row>
    <row r="33" spans="2:3" x14ac:dyDescent="0.25">
      <c r="B33" s="51" t="s">
        <v>49</v>
      </c>
      <c r="C33" cm="1">
        <f t="array" ref="C33">CountWins("Marcin","Irek")</f>
        <v>49</v>
      </c>
    </row>
    <row r="34" spans="2:3" x14ac:dyDescent="0.25">
      <c r="B34" s="51" t="s">
        <v>52</v>
      </c>
      <c r="C34" cm="1">
        <f t="array" ref="C34">CountWins("Marcin","Rysiek")</f>
        <v>38</v>
      </c>
    </row>
    <row r="35" spans="2:3" x14ac:dyDescent="0.25">
      <c r="B35" s="51" t="s">
        <v>53</v>
      </c>
      <c r="C35" cm="1">
        <f t="array" ref="C35">CountWins("Rysiek","Marcin")</f>
        <v>92</v>
      </c>
    </row>
    <row r="36" spans="2:3" x14ac:dyDescent="0.25">
      <c r="B36" s="51" t="s">
        <v>50</v>
      </c>
      <c r="C36" cm="1">
        <f t="array" ref="C36">CountWins("Irek","Rysiek")</f>
        <v>110</v>
      </c>
    </row>
    <row r="37" spans="2:3" x14ac:dyDescent="0.25">
      <c r="B37" s="51" t="s">
        <v>51</v>
      </c>
      <c r="C37" cm="1">
        <f t="array" ref="C37">CountWins("Rysiek","Irek")</f>
        <v>111</v>
      </c>
    </row>
    <row r="38" spans="2:3" x14ac:dyDescent="0.25">
      <c r="B38" s="88" t="s">
        <v>69</v>
      </c>
      <c r="C38" cm="1">
        <f t="array" ref="C38">CountWins("Irek","Piotr")</f>
        <v>72</v>
      </c>
    </row>
    <row r="39" spans="2:3" x14ac:dyDescent="0.25">
      <c r="B39" s="88" t="s">
        <v>70</v>
      </c>
      <c r="C39" cm="1">
        <f t="array" ref="C39">CountWins("Piotr","Irek")</f>
        <v>107</v>
      </c>
    </row>
    <row r="40" spans="2:3" x14ac:dyDescent="0.25">
      <c r="B40" s="88" t="s">
        <v>71</v>
      </c>
      <c r="C40" cm="1">
        <f t="array" ref="C40">CountWins("MArcin","Piotr")</f>
        <v>13</v>
      </c>
    </row>
    <row r="41" spans="2:3" x14ac:dyDescent="0.25">
      <c r="B41" s="88" t="s">
        <v>72</v>
      </c>
      <c r="C41" cm="1">
        <f t="array" ref="C41">CountWins("Piotr","Marcin")</f>
        <v>72</v>
      </c>
    </row>
    <row r="42" spans="2:3" x14ac:dyDescent="0.25">
      <c r="B42" s="88" t="s">
        <v>73</v>
      </c>
      <c r="C42" cm="1">
        <f t="array" ref="C42">CountWins("Rysiek","Piotr")</f>
        <v>65</v>
      </c>
    </row>
    <row r="43" spans="2:3" x14ac:dyDescent="0.25">
      <c r="B43" s="88" t="s">
        <v>74</v>
      </c>
      <c r="C43" cm="1">
        <f t="array" ref="C43">CountWins("Piotr","Rysiek")</f>
        <v>104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143</v>
      </c>
    </row>
    <row r="47" spans="2:3" x14ac:dyDescent="0.25">
      <c r="B47" s="53" t="s">
        <v>55</v>
      </c>
      <c r="C47" cm="1">
        <f t="array" ref="C47">CountCellsStartingWithWwhereColumnSorO("Irek","o")</f>
        <v>132</v>
      </c>
    </row>
    <row r="48" spans="2:3" x14ac:dyDescent="0.25">
      <c r="B48" s="53" t="s">
        <v>56</v>
      </c>
      <c r="C48" cm="1">
        <f t="array" ref="C48">CountCellsStartingWithWwhereColumnSorO("Rysiek","s")</f>
        <v>142</v>
      </c>
    </row>
    <row r="49" spans="2:3" x14ac:dyDescent="0.25">
      <c r="B49" s="53" t="s">
        <v>57</v>
      </c>
      <c r="C49" cm="1">
        <f t="array" ref="C49">CountCellsStartingWithWwhereColumnSorO("Rysiek","o")</f>
        <v>126</v>
      </c>
    </row>
    <row r="50" spans="2:3" x14ac:dyDescent="0.25">
      <c r="B50" s="53" t="s">
        <v>58</v>
      </c>
      <c r="C50" cm="1">
        <f t="array" ref="C50">CountCellsStartingWithWwhereColumnSorO("Marcin","s")</f>
        <v>51</v>
      </c>
    </row>
    <row r="51" spans="2:3" x14ac:dyDescent="0.25">
      <c r="B51" s="53" t="s">
        <v>59</v>
      </c>
      <c r="C51" cm="1">
        <f t="array" ref="C51">CountCellsStartingWithWwhereColumnSorO("Marcin","o")</f>
        <v>49</v>
      </c>
    </row>
    <row r="52" spans="2:3" x14ac:dyDescent="0.25">
      <c r="B52" s="89" t="s">
        <v>79</v>
      </c>
      <c r="C52" cm="1">
        <f t="array" ref="C52">CountCellsStartingWithWwhereColumnSorO("Piotr","s")</f>
        <v>138</v>
      </c>
    </row>
    <row r="53" spans="2:3" x14ac:dyDescent="0.25">
      <c r="B53" s="89" t="s">
        <v>80</v>
      </c>
      <c r="C53" cm="1">
        <f t="array" ref="C53">CountCellsStartingWithWwhereColumnSorO("Piotr","o")</f>
        <v>145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817F-A0BC-4861-A423-45B95FBA6279}">
  <sheetPr codeName="Sheet86"/>
  <dimension ref="A2:AF995"/>
  <sheetViews>
    <sheetView topLeftCell="A80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86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 t="s">
        <v>84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66" t="s">
        <v>21</v>
      </c>
      <c r="G12" s="66" t="s">
        <v>83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2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84</v>
      </c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83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83</v>
      </c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83</v>
      </c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85</v>
      </c>
      <c r="D39" s="65"/>
      <c r="E39" s="65"/>
      <c r="F39" s="66"/>
      <c r="G39" s="66"/>
      <c r="H39" s="66" t="s">
        <v>20</v>
      </c>
      <c r="I39" s="66" t="s">
        <v>86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84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55EB-1D79-4D63-A152-137D4FFE1B60}">
  <sheetPr codeName="Sheet87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 t="s">
        <v>83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86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 t="s">
        <v>82</v>
      </c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83</v>
      </c>
      <c r="H20" s="66"/>
      <c r="I20" s="66"/>
      <c r="J20" s="67" t="s">
        <v>21</v>
      </c>
      <c r="K20" s="67" t="s">
        <v>84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86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 t="s">
        <v>86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85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 t="s">
        <v>84</v>
      </c>
      <c r="H34" s="66"/>
      <c r="I34" s="66"/>
      <c r="J34" s="67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 t="s">
        <v>85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84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 t="s">
        <v>85</v>
      </c>
      <c r="N42" s="81">
        <f>COUNTIF(B42:M42,"w*")</f>
        <v>3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A6DE4-A96C-4FD1-ACE6-952DA1147853}">
  <sheetPr codeName="Sheet88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85</v>
      </c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84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85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0CB20-7857-49AA-A929-FB4409D507A8}">
  <sheetPr codeName="Sheet89"/>
  <dimension ref="A2:AF995"/>
  <sheetViews>
    <sheetView topLeftCell="A78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 t="s">
        <v>83</v>
      </c>
      <c r="H13" s="66"/>
      <c r="I13" s="66"/>
      <c r="J13" s="67" t="s">
        <v>20</v>
      </c>
      <c r="K13" s="67" t="s">
        <v>85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85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85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84</v>
      </c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 t="s">
        <v>103</v>
      </c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 t="s">
        <v>84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85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86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84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84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84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82</v>
      </c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  <vt:lpstr>prot_26_08_26</vt:lpstr>
      <vt:lpstr>prot_30_08_26</vt:lpstr>
      <vt:lpstr>prot_13_09_26</vt:lpstr>
      <vt:lpstr>prot_20_09_26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2026-09-20T10:28:49Z</dcterms:modified>
</cp:coreProperties>
</file>