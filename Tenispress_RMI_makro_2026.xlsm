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790" documentId="13_ncr:1_{01A063F3-997C-4D1C-9898-A98279BCB518}" xr6:coauthVersionLast="47" xr6:coauthVersionMax="47" xr10:uidLastSave="{F8DAA25B-C668-4291-9CB7-C25CB7FD8900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  <sheet name="prot_20_09_26" sheetId="98" r:id="rId34"/>
    <sheet name="prot_11_10_26" sheetId="99" r:id="rId3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2" l="1"/>
  <c r="K51" i="2"/>
  <c r="H51" i="2"/>
  <c r="E51" i="2"/>
  <c r="L52" i="2"/>
  <c r="I52" i="2"/>
  <c r="F52" i="2"/>
  <c r="C52" i="2"/>
  <c r="N84" i="99"/>
  <c r="N83" i="99"/>
  <c r="N82" i="99"/>
  <c r="N81" i="99"/>
  <c r="N77" i="99"/>
  <c r="N76" i="99"/>
  <c r="N75" i="99"/>
  <c r="N74" i="99"/>
  <c r="N70" i="99"/>
  <c r="N69" i="99"/>
  <c r="N68" i="99"/>
  <c r="N67" i="99"/>
  <c r="N63" i="99"/>
  <c r="N62" i="99"/>
  <c r="N61" i="99"/>
  <c r="N60" i="99"/>
  <c r="N56" i="99"/>
  <c r="N55" i="99"/>
  <c r="N54" i="99"/>
  <c r="N53" i="99"/>
  <c r="N49" i="99"/>
  <c r="N48" i="99"/>
  <c r="N47" i="99"/>
  <c r="N46" i="99"/>
  <c r="N42" i="99"/>
  <c r="N41" i="99"/>
  <c r="N40" i="99"/>
  <c r="N39" i="99"/>
  <c r="N35" i="99"/>
  <c r="N34" i="99"/>
  <c r="N33" i="99"/>
  <c r="N32" i="99"/>
  <c r="N28" i="99"/>
  <c r="N27" i="99"/>
  <c r="N26" i="99"/>
  <c r="N25" i="99"/>
  <c r="N21" i="99"/>
  <c r="N20" i="99"/>
  <c r="N19" i="99"/>
  <c r="N18" i="99"/>
  <c r="N14" i="99"/>
  <c r="N13" i="99"/>
  <c r="N12" i="99"/>
  <c r="N11" i="99"/>
  <c r="N7" i="99"/>
  <c r="N6" i="99"/>
  <c r="N5" i="99"/>
  <c r="N4" i="99"/>
  <c r="N50" i="2"/>
  <c r="K50" i="2"/>
  <c r="H50" i="2"/>
  <c r="E50" i="2"/>
  <c r="N84" i="98"/>
  <c r="N83" i="98"/>
  <c r="N82" i="98"/>
  <c r="N81" i="98"/>
  <c r="N77" i="98"/>
  <c r="N76" i="98"/>
  <c r="N75" i="98"/>
  <c r="N74" i="98"/>
  <c r="N70" i="98"/>
  <c r="N69" i="98"/>
  <c r="N68" i="98"/>
  <c r="N67" i="98"/>
  <c r="N63" i="98"/>
  <c r="N62" i="98"/>
  <c r="N61" i="98"/>
  <c r="N60" i="98"/>
  <c r="N56" i="98"/>
  <c r="N55" i="98"/>
  <c r="N54" i="98"/>
  <c r="N53" i="98"/>
  <c r="N49" i="98"/>
  <c r="N48" i="98"/>
  <c r="N47" i="98"/>
  <c r="N46" i="98"/>
  <c r="N42" i="98"/>
  <c r="N41" i="98"/>
  <c r="N40" i="98"/>
  <c r="N39" i="98"/>
  <c r="N35" i="98"/>
  <c r="N34" i="98"/>
  <c r="N33" i="98"/>
  <c r="N32" i="98"/>
  <c r="N28" i="98"/>
  <c r="N27" i="98"/>
  <c r="N26" i="98"/>
  <c r="N25" i="98"/>
  <c r="N21" i="98"/>
  <c r="N20" i="98"/>
  <c r="N19" i="98"/>
  <c r="N18" i="98"/>
  <c r="N14" i="98"/>
  <c r="N13" i="98"/>
  <c r="N12" i="98"/>
  <c r="N11" i="98"/>
  <c r="N7" i="98"/>
  <c r="N6" i="98"/>
  <c r="N5" i="98"/>
  <c r="N4" i="98"/>
  <c r="N49" i="2"/>
  <c r="K49" i="2"/>
  <c r="H49" i="2"/>
  <c r="E49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52" i="2" s="1"/>
  <c r="K23" i="2"/>
  <c r="H23" i="2"/>
  <c r="E23" i="2"/>
  <c r="E52" i="2" s="1"/>
  <c r="H52" i="2" l="1"/>
  <c r="K52" i="2"/>
  <c r="C87" i="99"/>
  <c r="C89" i="99"/>
  <c r="C88" i="99"/>
  <c r="C86" i="99"/>
  <c r="C87" i="98"/>
  <c r="C88" i="98"/>
  <c r="C86" i="98"/>
  <c r="C89" i="98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9" i="17" a="1"/>
  <c r="C49" i="17" a="1"/>
  <c r="C15" i="17" a="1"/>
  <c r="C51" i="17" a="1"/>
  <c r="C10" i="17" a="1"/>
  <c r="C52" i="17" a="1"/>
  <c r="C7" i="17" a="1"/>
  <c r="C25" i="17" a="1"/>
  <c r="C38" i="17" a="1"/>
  <c r="C19" i="17" a="1"/>
  <c r="C50" i="17" a="1"/>
  <c r="C14" i="17" a="1"/>
  <c r="C24" i="17" a="1"/>
  <c r="C48" i="17" a="1"/>
  <c r="C53" i="17" a="1"/>
  <c r="C20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<sst xmlns="http://schemas.openxmlformats.org/spreadsheetml/2006/main" count="12348" uniqueCount="104">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</sst>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34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3"/>
  <sheetViews>
    <sheetView topLeftCell="B38" zoomScaleNormal="100" workbookViewId="0">
      <selection activeCell="N50" sqref="N50:N51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51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 t="shared" ref="E45:E51" si="6"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 t="shared" ref="K45:K51" si="7">VLOOKUP(J45,$D$6:$E$16,2,FALSE)+I45</f>
        <v>6</v>
      </c>
      <c r="L45" s="56">
        <v>11</v>
      </c>
      <c r="M45" s="62">
        <v>1</v>
      </c>
      <c r="N45" s="58">
        <f t="shared" ref="N45:N51" si="8"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 t="shared" si="6"/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 t="shared" si="7"/>
        <v>4</v>
      </c>
      <c r="L46" s="56">
        <v>15</v>
      </c>
      <c r="M46" s="62">
        <v>1</v>
      </c>
      <c r="N46" s="58">
        <f t="shared" si="8"/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 t="shared" si="6"/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 t="shared" si="7"/>
        <v>5</v>
      </c>
      <c r="L47" s="56">
        <v>14</v>
      </c>
      <c r="M47" s="62">
        <v>1</v>
      </c>
      <c r="N47" s="58">
        <f t="shared" si="8"/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 t="shared" si="6"/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 t="shared" si="7"/>
        <v>4</v>
      </c>
      <c r="L48" s="56">
        <v>15</v>
      </c>
      <c r="M48" s="62">
        <v>1</v>
      </c>
      <c r="N48" s="58">
        <f t="shared" si="8"/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 t="shared" si="6"/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 t="shared" si="7"/>
        <v>0</v>
      </c>
      <c r="L49" s="56">
        <v>15</v>
      </c>
      <c r="M49" s="62">
        <v>1</v>
      </c>
      <c r="N49" s="58">
        <f t="shared" si="8"/>
        <v>22</v>
      </c>
    </row>
    <row r="50" spans="2:14" ht="24" customHeight="1" x14ac:dyDescent="0.25">
      <c r="B50" s="113">
        <v>46285</v>
      </c>
      <c r="C50" s="13">
        <v>10</v>
      </c>
      <c r="D50" s="16">
        <v>3</v>
      </c>
      <c r="E50" s="22">
        <f t="shared" si="6"/>
        <v>13</v>
      </c>
      <c r="F50" s="14">
        <v>13</v>
      </c>
      <c r="G50" s="18">
        <v>1</v>
      </c>
      <c r="H50" s="23">
        <f t="shared" si="5"/>
        <v>20</v>
      </c>
      <c r="I50" s="15">
        <v>2</v>
      </c>
      <c r="J50" s="20">
        <v>4</v>
      </c>
      <c r="K50" s="24">
        <f t="shared" si="7"/>
        <v>3</v>
      </c>
      <c r="L50" s="56">
        <v>11</v>
      </c>
      <c r="M50" s="62">
        <v>2</v>
      </c>
      <c r="N50" s="58">
        <f t="shared" si="8"/>
        <v>16</v>
      </c>
    </row>
    <row r="51" spans="2:14" ht="24" customHeight="1" x14ac:dyDescent="0.25">
      <c r="B51" s="113">
        <v>46306</v>
      </c>
      <c r="C51" s="13">
        <v>5</v>
      </c>
      <c r="D51" s="16">
        <v>4</v>
      </c>
      <c r="E51" s="22">
        <f t="shared" si="6"/>
        <v>6</v>
      </c>
      <c r="F51" s="14">
        <v>8</v>
      </c>
      <c r="G51" s="18">
        <v>3</v>
      </c>
      <c r="H51" s="23">
        <f t="shared" si="5"/>
        <v>11</v>
      </c>
      <c r="I51" s="15">
        <v>10</v>
      </c>
      <c r="J51" s="20">
        <v>2</v>
      </c>
      <c r="K51" s="24">
        <f t="shared" si="7"/>
        <v>15</v>
      </c>
      <c r="L51" s="56">
        <v>13</v>
      </c>
      <c r="M51" s="62">
        <v>1</v>
      </c>
      <c r="N51" s="58">
        <f t="shared" si="8"/>
        <v>20</v>
      </c>
    </row>
    <row r="52" spans="2:14" ht="27.75" customHeight="1" x14ac:dyDescent="0.5">
      <c r="B52" s="25" t="s">
        <v>15</v>
      </c>
      <c r="C52" s="97">
        <f>SUM(C22:C51)</f>
        <v>280</v>
      </c>
      <c r="E52" s="101">
        <f>SUM(E22:E51)</f>
        <v>407</v>
      </c>
      <c r="F52" s="97">
        <f>SUM(F22:F51)</f>
        <v>276</v>
      </c>
      <c r="G52" s="96"/>
      <c r="H52" s="107">
        <f>SUM(H22:H51)</f>
        <v>413</v>
      </c>
      <c r="I52" s="97">
        <f>SUM(I22:I51)</f>
        <v>110</v>
      </c>
      <c r="J52" s="25"/>
      <c r="K52" s="108">
        <f>SUM(K22:K51)</f>
        <v>157</v>
      </c>
      <c r="L52" s="97">
        <f>SUM(L22:L51)</f>
        <v>296</v>
      </c>
      <c r="N52" s="112">
        <f>SUM(N22:N51)</f>
        <v>444</v>
      </c>
    </row>
    <row r="53" spans="2:14" ht="14.25" customHeight="1" x14ac:dyDescent="0.25">
      <c r="K53" s="1"/>
    </row>
    <row r="54" spans="2:14" ht="14.25" customHeight="1" x14ac:dyDescent="0.25"/>
    <row r="55" spans="2:14" ht="14.25" customHeight="1" x14ac:dyDescent="0.25"/>
    <row r="56" spans="2:14" ht="14.25" customHeight="1" x14ac:dyDescent="0.25"/>
    <row r="57" spans="2:14" ht="14.25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12.6" customHeight="1" x14ac:dyDescent="0.25"/>
    <row r="92" spans="15:16" ht="12.6" customHeight="1" x14ac:dyDescent="0.25"/>
    <row r="93" spans="15:16" ht="44.25" customHeight="1" x14ac:dyDescent="0.25">
      <c r="P93" s="102" t="s">
        <v>82</v>
      </c>
    </row>
    <row r="94" spans="15:16" ht="14.25" customHeight="1" x14ac:dyDescent="0.25">
      <c r="O94" s="2"/>
    </row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  <row r="1102" ht="14.25" customHeight="1" x14ac:dyDescent="0.25"/>
    <row r="1103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44</v>
      </c>
    </row>
    <row r="8" spans="2:3" x14ac:dyDescent="0.25">
      <c r="B8" t="s">
        <v>46</v>
      </c>
      <c r="C8" cm="1">
        <f t="array" ref="C8">CountValueWithColumnACondition("w(0)", "Marcin")</f>
        <v>15</v>
      </c>
    </row>
    <row r="9" spans="2:3" x14ac:dyDescent="0.25">
      <c r="B9" t="s">
        <v>47</v>
      </c>
      <c r="C9" cm="1">
        <f t="array" ref="C9">CountValueWithColumnACondition("w(0)", "Rysiek")</f>
        <v>41</v>
      </c>
    </row>
    <row r="10" spans="2:3" x14ac:dyDescent="0.25">
      <c r="B10" t="s">
        <v>75</v>
      </c>
      <c r="C10" cm="1">
        <f t="array" ref="C10">CountValueWithColumnACondition("w(0)", "Piotr")</f>
        <v>57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76</v>
      </c>
    </row>
    <row r="13" spans="2:3" x14ac:dyDescent="0.25">
      <c r="B13" s="50" t="s">
        <v>41</v>
      </c>
      <c r="C13" cm="1">
        <f t="array" ref="C13">CountValueWithColumnACondition("w(15)", "Marcin")</f>
        <v>22</v>
      </c>
    </row>
    <row r="14" spans="2:3" x14ac:dyDescent="0.25">
      <c r="B14" s="50" t="s">
        <v>42</v>
      </c>
      <c r="C14" cm="1">
        <f t="array" ref="C14">CountValueWithColumnACondition("w(15)", "Rysiek")</f>
        <v>68</v>
      </c>
    </row>
    <row r="15" spans="2:3" x14ac:dyDescent="0.25">
      <c r="B15" s="89" t="s">
        <v>76</v>
      </c>
      <c r="C15" cm="1">
        <f t="array" ref="C15">CountValueWithColumnACondition("w(15)", "Piotr")</f>
        <v>69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75</v>
      </c>
    </row>
    <row r="18" spans="1:14" x14ac:dyDescent="0.25">
      <c r="B18" s="50" t="s">
        <v>38</v>
      </c>
      <c r="C18" cm="1">
        <f t="array" ref="C18">CountValueWithColumnACondition("w(30)", "Marcin")</f>
        <v>30</v>
      </c>
    </row>
    <row r="19" spans="1:14" x14ac:dyDescent="0.25">
      <c r="B19" s="50" t="s">
        <v>39</v>
      </c>
      <c r="C19" s="34" cm="1">
        <f t="array" ref="C19">CountValueWithColumnACondition("w(30)", "Rysiek")</f>
        <v>84</v>
      </c>
    </row>
    <row r="20" spans="1:14" x14ac:dyDescent="0.25">
      <c r="B20" s="89" t="s">
        <v>77</v>
      </c>
      <c r="C20" s="34" cm="1">
        <f t="array" ref="C20">CountValueWithColumnACondition("w(30)", "Piotr")</f>
        <v>106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85</v>
      </c>
    </row>
    <row r="23" spans="1:14" x14ac:dyDescent="0.25">
      <c r="B23" s="50" t="s">
        <v>43</v>
      </c>
      <c r="C23" cm="1">
        <f t="array" ref="C23">CountValueWithColumnACondition("w(z)", "Marcin")</f>
        <v>43</v>
      </c>
    </row>
    <row r="24" spans="1:14" x14ac:dyDescent="0.25">
      <c r="B24" s="50" t="s">
        <v>44</v>
      </c>
      <c r="C24" cm="1">
        <f t="array" ref="C24">CountValueWithColumnACondition("w(z)", "Rysiek")</f>
        <v>81</v>
      </c>
    </row>
    <row r="25" spans="1:14" x14ac:dyDescent="0.25">
      <c r="B25" s="89" t="s">
        <v>78</v>
      </c>
      <c r="C25" cm="1">
        <f t="array" ref="C25">CountValueWithColumnACondition("w(z)", "Piotr")</f>
        <v>64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280</v>
      </c>
      <c r="F27" s="87"/>
    </row>
    <row r="28" spans="1:14" x14ac:dyDescent="0.25">
      <c r="A28" s="87"/>
      <c r="B28" s="53" t="s">
        <v>8</v>
      </c>
      <c r="C28">
        <f>SUM(C8,C13,C18,C23)</f>
        <v>110</v>
      </c>
      <c r="N28" s="111" t="s">
        <v>82</v>
      </c>
    </row>
    <row r="29" spans="1:14" x14ac:dyDescent="0.25">
      <c r="B29" s="53" t="s">
        <v>6</v>
      </c>
      <c r="C29">
        <f>SUM(C9,C14,C19,C24)</f>
        <v>274</v>
      </c>
    </row>
    <row r="30" spans="1:14" x14ac:dyDescent="0.25">
      <c r="B30" s="89" t="s">
        <v>67</v>
      </c>
      <c r="C30">
        <f>SUM(C10,C15,C20,C25)</f>
        <v>296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96</v>
      </c>
    </row>
    <row r="33" spans="2:3" x14ac:dyDescent="0.25">
      <c r="B33" s="51" t="s">
        <v>49</v>
      </c>
      <c r="C33" cm="1">
        <f t="array" ref="C33">CountWins("Marcin","Irek")</f>
        <v>52</v>
      </c>
    </row>
    <row r="34" spans="2:3" x14ac:dyDescent="0.25">
      <c r="B34" s="51" t="s">
        <v>52</v>
      </c>
      <c r="C34" cm="1">
        <f t="array" ref="C34">CountWins("Marcin","Rysiek")</f>
        <v>42</v>
      </c>
    </row>
    <row r="35" spans="2:3" x14ac:dyDescent="0.25">
      <c r="B35" s="51" t="s">
        <v>53</v>
      </c>
      <c r="C35" cm="1">
        <f t="array" ref="C35">CountWins("Rysiek","Marcin")</f>
        <v>94</v>
      </c>
    </row>
    <row r="36" spans="2:3" x14ac:dyDescent="0.25">
      <c r="B36" s="51" t="s">
        <v>50</v>
      </c>
      <c r="C36" cm="1">
        <f t="array" ref="C36">CountWins("Irek","Rysiek")</f>
        <v>111</v>
      </c>
    </row>
    <row r="37" spans="2:3" x14ac:dyDescent="0.25">
      <c r="B37" s="51" t="s">
        <v>51</v>
      </c>
      <c r="C37" cm="1">
        <f t="array" ref="C37">CountWins("Rysiek","Irek")</f>
        <v>116</v>
      </c>
    </row>
    <row r="38" spans="2:3" x14ac:dyDescent="0.25">
      <c r="B38" s="88" t="s">
        <v>69</v>
      </c>
      <c r="C38" cm="1">
        <f t="array" ref="C38">CountWins("Irek","Piotr")</f>
        <v>73</v>
      </c>
    </row>
    <row r="39" spans="2:3" x14ac:dyDescent="0.25">
      <c r="B39" s="88" t="s">
        <v>70</v>
      </c>
      <c r="C39" cm="1">
        <f t="array" ref="C39">CountWins("Piotr","Irek")</f>
        <v>112</v>
      </c>
    </row>
    <row r="40" spans="2:3" x14ac:dyDescent="0.25">
      <c r="B40" s="88" t="s">
        <v>71</v>
      </c>
      <c r="C40" cm="1">
        <f t="array" ref="C40">CountWins("MArcin","Piotr")</f>
        <v>16</v>
      </c>
    </row>
    <row r="41" spans="2:3" x14ac:dyDescent="0.25">
      <c r="B41" s="88" t="s">
        <v>72</v>
      </c>
      <c r="C41" cm="1">
        <f t="array" ref="C41">CountWins("Piotr","Marcin")</f>
        <v>75</v>
      </c>
    </row>
    <row r="42" spans="2:3" x14ac:dyDescent="0.25">
      <c r="B42" s="88" t="s">
        <v>73</v>
      </c>
      <c r="C42" cm="1">
        <f t="array" ref="C42">CountWins("Rysiek","Piotr")</f>
        <v>66</v>
      </c>
    </row>
    <row r="43" spans="2:3" x14ac:dyDescent="0.25">
      <c r="B43" s="88" t="s">
        <v>74</v>
      </c>
      <c r="C43" cm="1">
        <f t="array" ref="C43">CountWins("Piotr","Rysiek")</f>
        <v>109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147</v>
      </c>
    </row>
    <row r="47" spans="2:3" x14ac:dyDescent="0.25">
      <c r="B47" s="53" t="s">
        <v>55</v>
      </c>
      <c r="C47" cm="1">
        <f t="array" ref="C47">CountCellsStartingWithWwhereColumnSorO("Irek","o")</f>
        <v>133</v>
      </c>
    </row>
    <row r="48" spans="2:3" x14ac:dyDescent="0.25">
      <c r="B48" s="53" t="s">
        <v>56</v>
      </c>
      <c r="C48" cm="1">
        <f t="array" ref="C48">CountCellsStartingWithWwhereColumnSorO("Rysiek","s")</f>
        <v>146</v>
      </c>
    </row>
    <row r="49" spans="2:3" x14ac:dyDescent="0.25">
      <c r="B49" s="53" t="s">
        <v>57</v>
      </c>
      <c r="C49" cm="1">
        <f t="array" ref="C49">CountCellsStartingWithWwhereColumnSorO("Rysiek","o")</f>
        <v>130</v>
      </c>
    </row>
    <row r="50" spans="2:3" x14ac:dyDescent="0.25">
      <c r="B50" s="53" t="s">
        <v>58</v>
      </c>
      <c r="C50" cm="1">
        <f t="array" ref="C50">CountCellsStartingWithWwhereColumnSorO("Marcin","s")</f>
        <v>56</v>
      </c>
    </row>
    <row r="51" spans="2:3" x14ac:dyDescent="0.25">
      <c r="B51" s="53" t="s">
        <v>59</v>
      </c>
      <c r="C51" cm="1">
        <f t="array" ref="C51">CountCellsStartingWithWwhereColumnSorO("Marcin","o")</f>
        <v>54</v>
      </c>
    </row>
    <row r="52" spans="2:3" x14ac:dyDescent="0.25">
      <c r="B52" s="89" t="s">
        <v>79</v>
      </c>
      <c r="C52" cm="1">
        <f t="array" ref="C52">CountCellsStartingWithWwhereColumnSorO("Piotr","s")</f>
        <v>144</v>
      </c>
    </row>
    <row r="53" spans="2:3" x14ac:dyDescent="0.25">
      <c r="B53" s="89" t="s">
        <v>80</v>
      </c>
      <c r="C53" cm="1">
        <f t="array" ref="C53">CountCellsStartingWithWwhereColumnSorO("Piotr","o")</f>
        <v>152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CB20-7857-49AA-A929-FB4409D507A8}">
  <sheetPr codeName="Sheet89"/>
  <dimension ref="A2:AF995"/>
  <sheetViews>
    <sheetView topLeftCell="A78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 t="s">
        <v>83</v>
      </c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85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84</v>
      </c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 t="s">
        <v>103</v>
      </c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 t="s">
        <v>84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85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84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84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84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2F86-D7A9-455A-A0BD-1D29694FF730}">
  <sheetPr codeName="Sheet90"/>
  <dimension ref="A2:AF995"/>
  <sheetViews>
    <sheetView topLeftCell="A74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86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85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 t="s">
        <v>84</v>
      </c>
      <c r="H12" s="66"/>
      <c r="I12" s="66" t="s">
        <v>82</v>
      </c>
      <c r="J12" s="67"/>
      <c r="K12" s="67"/>
      <c r="L12" s="67" t="s">
        <v>21</v>
      </c>
      <c r="M12" s="67" t="s">
        <v>84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84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85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83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83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 t="s">
        <v>85</v>
      </c>
      <c r="H33" s="66"/>
      <c r="I33" s="66" t="s">
        <v>82</v>
      </c>
      <c r="J33" s="67"/>
      <c r="K33" s="67"/>
      <c r="L33" s="67" t="s">
        <v>20</v>
      </c>
      <c r="M33" s="67" t="s">
        <v>86</v>
      </c>
      <c r="N33" s="81">
        <f>COUNTIF(B33:M33,"w*")</f>
        <v>3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 t="s">
        <v>83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85</v>
      </c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5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s="37" customFormat="1" ht="15.75" customHeight="1" x14ac:dyDescent="0.25"/>
    <row r="98" s="37" customFormat="1" ht="15.75" customHeight="1" x14ac:dyDescent="0.25"/>
    <row r="99" s="37" customFormat="1" ht="15.75" customHeight="1" x14ac:dyDescent="0.25"/>
    <row r="100" s="37" customFormat="1" ht="15.75" customHeight="1" x14ac:dyDescent="0.25"/>
    <row r="101" s="37" customFormat="1" ht="15.75" customHeight="1" x14ac:dyDescent="0.25"/>
    <row r="102" s="37" customFormat="1" ht="15.75" customHeight="1" x14ac:dyDescent="0.25"/>
    <row r="103" s="37" customFormat="1" ht="15.75" customHeight="1" x14ac:dyDescent="0.25"/>
    <row r="104" s="37" customFormat="1" ht="15.75" customHeight="1" x14ac:dyDescent="0.25"/>
    <row r="105" s="37" customFormat="1" ht="15.75" customHeight="1" x14ac:dyDescent="0.25"/>
    <row r="106" s="37" customFormat="1" ht="15.75" customHeight="1" x14ac:dyDescent="0.25"/>
    <row r="107" s="37" customFormat="1" ht="15.75" customHeight="1" x14ac:dyDescent="0.25"/>
    <row r="108" s="37" customFormat="1" ht="15.75" customHeight="1" x14ac:dyDescent="0.25"/>
    <row r="109" s="37" customFormat="1" ht="15.75" customHeight="1" x14ac:dyDescent="0.25"/>
    <row r="110" s="37" customFormat="1" ht="15.75" customHeight="1" x14ac:dyDescent="0.25"/>
    <row r="111" s="37" customFormat="1" ht="15.75" customHeight="1" x14ac:dyDescent="0.25"/>
    <row r="112" s="37" customFormat="1" ht="15.75" customHeight="1" x14ac:dyDescent="0.25"/>
    <row r="113" s="37" customFormat="1" ht="15.75" customHeight="1" x14ac:dyDescent="0.25"/>
    <row r="114" s="37" customFormat="1" ht="15.75" customHeight="1" x14ac:dyDescent="0.25"/>
    <row r="115" s="37" customFormat="1" ht="15.75" customHeight="1" x14ac:dyDescent="0.25"/>
    <row r="116" s="37" customFormat="1" ht="15.75" customHeight="1" x14ac:dyDescent="0.25"/>
    <row r="117" s="37" customFormat="1" ht="15.75" customHeight="1" x14ac:dyDescent="0.25"/>
    <row r="118" s="37" customFormat="1" ht="15.75" customHeight="1" x14ac:dyDescent="0.25"/>
    <row r="119" s="37" customFormat="1" ht="15.75" customHeight="1" x14ac:dyDescent="0.25"/>
    <row r="120" s="37" customFormat="1" ht="15.75" customHeight="1" x14ac:dyDescent="0.25"/>
    <row r="121" s="37" customFormat="1" ht="15.75" customHeight="1" x14ac:dyDescent="0.25"/>
    <row r="122" s="37" customFormat="1" ht="15.75" customHeight="1" x14ac:dyDescent="0.25"/>
    <row r="123" s="37" customFormat="1" ht="15.75" customHeight="1" x14ac:dyDescent="0.25"/>
    <row r="124" s="37" customFormat="1" ht="15.75" customHeight="1" x14ac:dyDescent="0.25"/>
    <row r="125" s="37" customFormat="1" ht="15.75" customHeight="1" x14ac:dyDescent="0.25"/>
    <row r="126" s="37" customFormat="1" ht="15.75" customHeight="1" x14ac:dyDescent="0.25"/>
    <row r="127" s="37" customFormat="1" ht="15.75" customHeight="1" x14ac:dyDescent="0.25"/>
    <row r="128" s="37" customFormat="1" ht="15.75" customHeight="1" x14ac:dyDescent="0.25"/>
    <row r="129" s="37" customFormat="1" ht="15.75" customHeight="1" x14ac:dyDescent="0.25"/>
    <row r="130" s="37" customFormat="1" ht="15.75" customHeight="1" x14ac:dyDescent="0.25"/>
    <row r="131" s="37" customFormat="1" ht="15.75" customHeight="1" x14ac:dyDescent="0.25"/>
    <row r="132" s="37" customFormat="1" ht="15.75" customHeight="1" x14ac:dyDescent="0.25"/>
    <row r="133" s="37" customFormat="1" ht="15.75" customHeight="1" x14ac:dyDescent="0.25"/>
    <row r="134" s="37" customFormat="1" ht="15.75" customHeight="1" x14ac:dyDescent="0.25"/>
    <row r="135" s="37" customFormat="1" ht="15.75" customHeight="1" x14ac:dyDescent="0.25"/>
    <row r="136" s="37" customFormat="1" ht="15.75" customHeight="1" x14ac:dyDescent="0.25"/>
    <row r="137" s="37" customFormat="1" ht="15.75" customHeight="1" x14ac:dyDescent="0.25"/>
    <row r="138" s="37" customFormat="1" ht="15.75" customHeight="1" x14ac:dyDescent="0.25"/>
    <row r="139" s="37" customFormat="1" ht="15.75" customHeight="1" x14ac:dyDescent="0.25"/>
    <row r="140" s="37" customFormat="1" ht="15.75" customHeight="1" x14ac:dyDescent="0.25"/>
    <row r="141" s="37" customFormat="1" ht="15.75" customHeight="1" x14ac:dyDescent="0.25"/>
    <row r="142" s="37" customFormat="1" ht="15.75" customHeight="1" x14ac:dyDescent="0.25"/>
    <row r="143" s="37" customFormat="1" ht="15.75" customHeight="1" x14ac:dyDescent="0.25"/>
    <row r="144" s="37" customFormat="1" ht="15.75" customHeight="1" x14ac:dyDescent="0.25"/>
    <row r="145" s="37" customFormat="1" ht="15.75" customHeight="1" x14ac:dyDescent="0.25"/>
    <row r="146" s="37" customFormat="1" ht="15.75" customHeight="1" x14ac:dyDescent="0.25"/>
    <row r="147" s="37" customFormat="1" ht="15.75" customHeight="1" x14ac:dyDescent="0.25"/>
    <row r="148" s="37" customFormat="1" ht="15.75" customHeight="1" x14ac:dyDescent="0.25"/>
    <row r="149" s="37" customFormat="1" ht="15.75" customHeight="1" x14ac:dyDescent="0.25"/>
    <row r="150" s="37" customFormat="1" ht="15.75" customHeight="1" x14ac:dyDescent="0.25"/>
    <row r="151" s="37" customFormat="1" ht="15.75" customHeight="1" x14ac:dyDescent="0.25"/>
    <row r="152" s="37" customFormat="1" ht="15.75" customHeight="1" x14ac:dyDescent="0.25"/>
    <row r="153" s="37" customFormat="1" ht="15.75" customHeight="1" x14ac:dyDescent="0.25"/>
    <row r="154" s="37" customFormat="1" ht="15.75" customHeight="1" x14ac:dyDescent="0.25"/>
    <row r="155" s="37" customFormat="1" ht="15.75" customHeight="1" x14ac:dyDescent="0.25"/>
    <row r="156" s="37" customFormat="1" ht="15.75" customHeight="1" x14ac:dyDescent="0.25"/>
    <row r="157" s="37" customFormat="1" ht="15.75" customHeight="1" x14ac:dyDescent="0.25"/>
    <row r="158" s="37" customFormat="1" ht="15.75" customHeight="1" x14ac:dyDescent="0.25"/>
    <row r="159" s="37" customFormat="1" ht="15.75" customHeight="1" x14ac:dyDescent="0.25"/>
    <row r="160" s="37" customFormat="1" ht="15.75" customHeight="1" x14ac:dyDescent="0.25"/>
    <row r="161" s="37" customFormat="1" ht="15.75" customHeight="1" x14ac:dyDescent="0.25"/>
    <row r="162" s="37" customFormat="1" ht="15.75" customHeight="1" x14ac:dyDescent="0.25"/>
    <row r="163" s="37" customFormat="1" ht="15.75" customHeight="1" x14ac:dyDescent="0.25"/>
    <row r="164" s="37" customFormat="1" ht="15.75" customHeight="1" x14ac:dyDescent="0.25"/>
    <row r="165" s="37" customFormat="1" ht="15.75" customHeight="1" x14ac:dyDescent="0.25"/>
    <row r="166" s="37" customFormat="1" ht="15.75" customHeight="1" x14ac:dyDescent="0.25"/>
    <row r="167" s="37" customFormat="1" ht="15.75" customHeight="1" x14ac:dyDescent="0.25"/>
    <row r="168" s="37" customFormat="1" ht="15.75" customHeight="1" x14ac:dyDescent="0.25"/>
    <row r="169" s="37" customFormat="1" ht="15.75" customHeight="1" x14ac:dyDescent="0.25"/>
    <row r="170" s="37" customFormat="1" ht="15.75" customHeight="1" x14ac:dyDescent="0.25"/>
    <row r="171" s="37" customFormat="1" ht="15.75" customHeight="1" x14ac:dyDescent="0.25"/>
    <row r="172" s="37" customFormat="1" ht="15.75" customHeight="1" x14ac:dyDescent="0.25"/>
    <row r="173" s="37" customFormat="1" ht="15.75" customHeight="1" x14ac:dyDescent="0.25"/>
    <row r="174" s="37" customFormat="1" ht="15.75" customHeight="1" x14ac:dyDescent="0.25"/>
    <row r="175" s="37" customFormat="1" ht="15.75" customHeight="1" x14ac:dyDescent="0.25"/>
    <row r="176" s="37" customFormat="1" ht="15.75" customHeight="1" x14ac:dyDescent="0.25"/>
    <row r="177" s="37" customFormat="1" ht="15.75" customHeight="1" x14ac:dyDescent="0.25"/>
    <row r="178" s="37" customFormat="1" ht="15.75" customHeight="1" x14ac:dyDescent="0.25"/>
    <row r="179" s="37" customFormat="1" ht="15.75" customHeight="1" x14ac:dyDescent="0.25"/>
    <row r="180" s="37" customFormat="1" ht="15.75" customHeight="1" x14ac:dyDescent="0.25"/>
    <row r="181" s="37" customFormat="1" ht="15.75" customHeight="1" x14ac:dyDescent="0.25"/>
    <row r="182" s="37" customFormat="1" ht="15.75" customHeight="1" x14ac:dyDescent="0.25"/>
    <row r="183" s="37" customFormat="1" ht="15.75" customHeight="1" x14ac:dyDescent="0.25"/>
    <row r="184" s="37" customFormat="1" ht="15.75" customHeight="1" x14ac:dyDescent="0.25"/>
    <row r="185" s="37" customFormat="1" ht="15.75" customHeight="1" x14ac:dyDescent="0.25"/>
    <row r="186" s="37" customFormat="1" ht="15.75" customHeight="1" x14ac:dyDescent="0.25"/>
    <row r="187" s="37" customFormat="1" ht="15.75" customHeight="1" x14ac:dyDescent="0.25"/>
    <row r="188" s="37" customFormat="1" ht="15.75" customHeight="1" x14ac:dyDescent="0.25"/>
    <row r="189" s="37" customFormat="1" ht="15.75" customHeight="1" x14ac:dyDescent="0.25"/>
    <row r="190" s="37" customFormat="1" ht="15.75" customHeight="1" x14ac:dyDescent="0.25"/>
    <row r="191" s="37" customFormat="1" ht="15.75" customHeight="1" x14ac:dyDescent="0.25"/>
    <row r="192" s="37" customFormat="1" ht="15.75" customHeight="1" x14ac:dyDescent="0.25"/>
    <row r="193" s="37" customFormat="1" ht="15.75" customHeight="1" x14ac:dyDescent="0.25"/>
    <row r="194" s="37" customFormat="1" ht="15.75" customHeight="1" x14ac:dyDescent="0.25"/>
    <row r="195" s="37" customFormat="1" ht="15.75" customHeight="1" x14ac:dyDescent="0.25"/>
    <row r="196" s="37" customFormat="1" ht="15.75" customHeight="1" x14ac:dyDescent="0.25"/>
    <row r="197" s="37" customFormat="1" ht="15.75" customHeight="1" x14ac:dyDescent="0.25"/>
    <row r="198" s="37" customFormat="1" ht="15.75" customHeight="1" x14ac:dyDescent="0.25"/>
    <row r="199" s="37" customFormat="1" ht="15.75" customHeight="1" x14ac:dyDescent="0.25"/>
    <row r="200" s="37" customFormat="1" ht="15.75" customHeight="1" x14ac:dyDescent="0.25"/>
    <row r="201" s="37" customFormat="1" ht="15.75" customHeight="1" x14ac:dyDescent="0.25"/>
    <row r="202" s="37" customFormat="1" ht="15.75" customHeight="1" x14ac:dyDescent="0.25"/>
    <row r="203" s="37" customFormat="1" ht="15.75" customHeight="1" x14ac:dyDescent="0.25"/>
    <row r="204" s="37" customFormat="1" ht="15.75" customHeight="1" x14ac:dyDescent="0.25"/>
    <row r="205" s="37" customFormat="1" ht="15.75" customHeight="1" x14ac:dyDescent="0.25"/>
    <row r="206" s="37" customFormat="1" ht="15.75" customHeight="1" x14ac:dyDescent="0.25"/>
    <row r="207" s="37" customFormat="1" ht="15.75" customHeight="1" x14ac:dyDescent="0.25"/>
    <row r="208" s="37" customFormat="1" ht="15.75" customHeight="1" x14ac:dyDescent="0.25"/>
    <row r="209" s="37" customFormat="1" ht="15.75" customHeight="1" x14ac:dyDescent="0.25"/>
    <row r="210" s="37" customFormat="1" ht="15.75" customHeight="1" x14ac:dyDescent="0.25"/>
    <row r="211" s="37" customFormat="1" ht="15.75" customHeight="1" x14ac:dyDescent="0.25"/>
    <row r="212" s="37" customFormat="1" ht="15.75" customHeight="1" x14ac:dyDescent="0.25"/>
    <row r="213" s="37" customFormat="1" ht="15.75" customHeight="1" x14ac:dyDescent="0.25"/>
    <row r="214" s="37" customFormat="1" ht="15.75" customHeight="1" x14ac:dyDescent="0.25"/>
    <row r="215" s="37" customFormat="1" ht="15.75" customHeight="1" x14ac:dyDescent="0.25"/>
    <row r="216" s="37" customFormat="1" ht="15.75" customHeight="1" x14ac:dyDescent="0.25"/>
    <row r="217" s="37" customFormat="1" ht="15.75" customHeight="1" x14ac:dyDescent="0.25"/>
    <row r="218" s="37" customFormat="1" ht="15.75" customHeight="1" x14ac:dyDescent="0.25"/>
    <row r="219" s="37" customFormat="1" ht="15.75" customHeight="1" x14ac:dyDescent="0.25"/>
    <row r="220" s="37" customFormat="1" ht="15.75" customHeight="1" x14ac:dyDescent="0.25"/>
    <row r="221" s="37" customFormat="1" ht="15.75" customHeight="1" x14ac:dyDescent="0.25"/>
    <row r="222" s="37" customFormat="1" ht="15.75" customHeight="1" x14ac:dyDescent="0.25"/>
    <row r="223" s="37" customFormat="1" ht="15.75" customHeight="1" x14ac:dyDescent="0.25"/>
    <row r="224" s="37" customFormat="1" ht="15.75" customHeight="1" x14ac:dyDescent="0.25"/>
    <row r="225" s="37" customFormat="1" ht="15.75" customHeight="1" x14ac:dyDescent="0.25"/>
    <row r="226" s="37" customFormat="1" ht="15.75" customHeight="1" x14ac:dyDescent="0.25"/>
    <row r="227" s="37" customFormat="1" ht="15.75" customHeight="1" x14ac:dyDescent="0.25"/>
    <row r="228" s="37" customFormat="1" ht="15.75" customHeight="1" x14ac:dyDescent="0.25"/>
    <row r="229" s="37" customFormat="1" ht="15.75" customHeight="1" x14ac:dyDescent="0.25"/>
    <row r="230" s="37" customFormat="1" ht="15.75" customHeight="1" x14ac:dyDescent="0.25"/>
    <row r="231" s="37" customFormat="1" ht="15.75" customHeight="1" x14ac:dyDescent="0.25"/>
    <row r="232" s="37" customFormat="1" ht="15.75" customHeight="1" x14ac:dyDescent="0.25"/>
    <row r="233" s="37" customFormat="1" ht="15.75" customHeight="1" x14ac:dyDescent="0.25"/>
    <row r="234" s="37" customFormat="1" ht="15.75" customHeight="1" x14ac:dyDescent="0.25"/>
    <row r="235" s="37" customFormat="1" ht="15.75" customHeight="1" x14ac:dyDescent="0.25"/>
    <row r="236" s="37" customFormat="1" ht="15.75" customHeight="1" x14ac:dyDescent="0.25"/>
    <row r="237" s="37" customFormat="1" ht="15.75" customHeight="1" x14ac:dyDescent="0.25"/>
    <row r="238" s="37" customFormat="1" ht="15.75" customHeight="1" x14ac:dyDescent="0.25"/>
    <row r="239" s="37" customFormat="1" ht="15.75" customHeight="1" x14ac:dyDescent="0.25"/>
    <row r="240" s="37" customFormat="1" ht="15.75" customHeight="1" x14ac:dyDescent="0.25"/>
    <row r="241" s="37" customFormat="1" ht="15.75" customHeight="1" x14ac:dyDescent="0.25"/>
    <row r="242" s="37" customFormat="1" ht="15.75" customHeight="1" x14ac:dyDescent="0.25"/>
    <row r="243" s="37" customFormat="1" ht="15.75" customHeight="1" x14ac:dyDescent="0.25"/>
    <row r="244" s="37" customFormat="1" ht="15.75" customHeight="1" x14ac:dyDescent="0.25"/>
    <row r="245" s="37" customFormat="1" ht="15.75" customHeight="1" x14ac:dyDescent="0.25"/>
    <row r="246" s="37" customFormat="1" ht="15.75" customHeight="1" x14ac:dyDescent="0.25"/>
    <row r="247" s="37" customFormat="1" ht="15.75" customHeight="1" x14ac:dyDescent="0.25"/>
    <row r="248" s="37" customFormat="1" ht="15.75" customHeight="1" x14ac:dyDescent="0.25"/>
    <row r="249" s="37" customFormat="1" ht="15.75" customHeight="1" x14ac:dyDescent="0.25"/>
    <row r="250" s="37" customFormat="1" ht="15.75" customHeight="1" x14ac:dyDescent="0.25"/>
    <row r="251" s="37" customFormat="1" ht="15.75" customHeight="1" x14ac:dyDescent="0.25"/>
    <row r="252" s="37" customFormat="1" ht="15.75" customHeight="1" x14ac:dyDescent="0.25"/>
    <row r="253" s="37" customFormat="1" ht="15.75" customHeight="1" x14ac:dyDescent="0.25"/>
    <row r="254" s="37" customFormat="1" ht="15.75" customHeight="1" x14ac:dyDescent="0.25"/>
    <row r="255" s="37" customFormat="1" ht="15.75" customHeight="1" x14ac:dyDescent="0.25"/>
    <row r="256" s="37" customFormat="1" ht="15.75" customHeight="1" x14ac:dyDescent="0.25"/>
    <row r="257" s="37" customFormat="1" ht="15.75" customHeight="1" x14ac:dyDescent="0.25"/>
    <row r="258" s="37" customFormat="1" ht="15.75" customHeight="1" x14ac:dyDescent="0.25"/>
    <row r="259" s="37" customFormat="1" ht="15.75" customHeight="1" x14ac:dyDescent="0.25"/>
    <row r="260" s="37" customFormat="1" ht="15.75" customHeight="1" x14ac:dyDescent="0.25"/>
    <row r="261" s="37" customFormat="1" ht="15.75" customHeight="1" x14ac:dyDescent="0.25"/>
    <row r="262" s="37" customFormat="1" ht="15.75" customHeight="1" x14ac:dyDescent="0.25"/>
    <row r="263" s="37" customFormat="1" ht="15.75" customHeight="1" x14ac:dyDescent="0.25"/>
    <row r="264" s="37" customFormat="1" ht="15.75" customHeight="1" x14ac:dyDescent="0.25"/>
    <row r="265" s="37" customFormat="1" ht="15.75" customHeight="1" x14ac:dyDescent="0.25"/>
    <row r="266" s="37" customFormat="1" ht="15.75" customHeight="1" x14ac:dyDescent="0.25"/>
    <row r="267" s="37" customFormat="1" ht="15.75" customHeight="1" x14ac:dyDescent="0.25"/>
    <row r="268" s="37" customFormat="1" ht="15.75" customHeight="1" x14ac:dyDescent="0.25"/>
    <row r="269" s="37" customFormat="1" ht="15.75" customHeight="1" x14ac:dyDescent="0.25"/>
    <row r="270" s="37" customFormat="1" ht="15.75" customHeight="1" x14ac:dyDescent="0.25"/>
    <row r="271" s="37" customFormat="1" ht="15.75" customHeight="1" x14ac:dyDescent="0.25"/>
    <row r="272" s="37" customFormat="1" ht="15.75" customHeight="1" x14ac:dyDescent="0.25"/>
    <row r="273" s="37" customFormat="1" ht="15.75" customHeight="1" x14ac:dyDescent="0.25"/>
    <row r="274" s="37" customFormat="1" ht="15.75" customHeight="1" x14ac:dyDescent="0.25"/>
    <row r="275" s="37" customFormat="1" ht="15.75" customHeight="1" x14ac:dyDescent="0.25"/>
    <row r="276" s="37" customFormat="1" ht="15.75" customHeight="1" x14ac:dyDescent="0.25"/>
    <row r="277" s="37" customFormat="1" ht="15.75" customHeight="1" x14ac:dyDescent="0.25"/>
    <row r="278" s="37" customFormat="1" ht="15.75" customHeight="1" x14ac:dyDescent="0.25"/>
    <row r="279" s="37" customFormat="1" ht="15.75" customHeight="1" x14ac:dyDescent="0.25"/>
    <row r="280" s="37" customFormat="1" ht="15.75" customHeight="1" x14ac:dyDescent="0.25"/>
    <row r="281" s="37" customFormat="1" ht="15.75" customHeight="1" x14ac:dyDescent="0.25"/>
    <row r="282" s="37" customFormat="1" ht="15.75" customHeight="1" x14ac:dyDescent="0.25"/>
    <row r="283" s="37" customFormat="1" ht="15.75" customHeight="1" x14ac:dyDescent="0.25"/>
    <row r="284" s="37" customFormat="1" ht="15.75" customHeight="1" x14ac:dyDescent="0.25"/>
    <row r="285" s="37" customFormat="1" ht="15.75" customHeight="1" x14ac:dyDescent="0.25"/>
    <row r="286" s="37" customFormat="1" ht="15.75" customHeight="1" x14ac:dyDescent="0.25"/>
    <row r="287" s="37" customFormat="1" ht="15.75" customHeight="1" x14ac:dyDescent="0.25"/>
    <row r="288" s="37" customFormat="1" ht="15.75" customHeight="1" x14ac:dyDescent="0.25"/>
    <row r="289" s="37" customFormat="1" ht="15.75" customHeight="1" x14ac:dyDescent="0.25"/>
    <row r="290" s="37" customFormat="1" ht="15.75" customHeight="1" x14ac:dyDescent="0.25"/>
    <row r="291" s="37" customFormat="1" ht="15.75" customHeight="1" x14ac:dyDescent="0.25"/>
    <row r="292" s="37" customFormat="1" ht="15.75" customHeight="1" x14ac:dyDescent="0.25"/>
    <row r="293" s="37" customFormat="1" ht="15.75" customHeight="1" x14ac:dyDescent="0.25"/>
    <row r="294" s="37" customFormat="1" ht="15.75" customHeight="1" x14ac:dyDescent="0.25"/>
    <row r="295" s="37" customFormat="1" ht="15.75" customHeight="1" x14ac:dyDescent="0.25"/>
    <row r="296" s="37" customFormat="1" ht="15.75" customHeight="1" x14ac:dyDescent="0.25"/>
    <row r="297" s="37" customFormat="1" ht="15.75" customHeight="1" x14ac:dyDescent="0.25"/>
    <row r="298" s="37" customFormat="1" ht="15.75" customHeight="1" x14ac:dyDescent="0.25"/>
    <row r="299" s="37" customFormat="1" ht="15.75" customHeight="1" x14ac:dyDescent="0.25"/>
    <row r="300" s="37" customFormat="1" ht="15.75" customHeight="1" x14ac:dyDescent="0.25"/>
    <row r="301" s="37" customFormat="1" ht="15.75" customHeight="1" x14ac:dyDescent="0.25"/>
    <row r="302" s="37" customFormat="1" ht="15.75" customHeight="1" x14ac:dyDescent="0.25"/>
    <row r="303" s="37" customFormat="1" ht="15.75" customHeight="1" x14ac:dyDescent="0.25"/>
    <row r="304" s="37" customFormat="1" ht="15.75" customHeight="1" x14ac:dyDescent="0.25"/>
    <row r="305" s="37" customFormat="1" ht="15.75" customHeight="1" x14ac:dyDescent="0.25"/>
    <row r="306" s="37" customFormat="1" ht="15.75" customHeight="1" x14ac:dyDescent="0.25"/>
    <row r="307" s="37" customFormat="1" ht="15.75" customHeight="1" x14ac:dyDescent="0.25"/>
    <row r="308" s="37" customFormat="1" ht="15.75" customHeight="1" x14ac:dyDescent="0.25"/>
    <row r="309" s="37" customFormat="1" ht="15.75" customHeight="1" x14ac:dyDescent="0.25"/>
    <row r="310" s="37" customFormat="1" ht="15.75" customHeight="1" x14ac:dyDescent="0.25"/>
    <row r="311" s="37" customFormat="1" ht="15.75" customHeight="1" x14ac:dyDescent="0.25"/>
    <row r="312" s="37" customFormat="1" ht="15.75" customHeight="1" x14ac:dyDescent="0.25"/>
    <row r="313" s="37" customFormat="1" ht="15.75" customHeight="1" x14ac:dyDescent="0.25"/>
    <row r="314" s="37" customFormat="1" ht="15.75" customHeight="1" x14ac:dyDescent="0.25"/>
    <row r="315" s="37" customFormat="1" ht="15.75" customHeight="1" x14ac:dyDescent="0.25"/>
    <row r="316" s="37" customFormat="1" ht="15.75" customHeight="1" x14ac:dyDescent="0.25"/>
    <row r="317" s="37" customFormat="1" ht="15.75" customHeight="1" x14ac:dyDescent="0.25"/>
    <row r="318" s="37" customFormat="1" ht="15.75" customHeight="1" x14ac:dyDescent="0.25"/>
    <row r="319" s="37" customFormat="1" ht="15.75" customHeight="1" x14ac:dyDescent="0.25"/>
    <row r="320" s="37" customFormat="1" ht="15.75" customHeight="1" x14ac:dyDescent="0.25"/>
    <row r="321" s="37" customFormat="1" ht="15.75" customHeight="1" x14ac:dyDescent="0.25"/>
    <row r="322" s="37" customFormat="1" ht="15.75" customHeight="1" x14ac:dyDescent="0.25"/>
    <row r="323" s="37" customFormat="1" ht="15.75" customHeight="1" x14ac:dyDescent="0.25"/>
    <row r="324" s="37" customFormat="1" ht="15.75" customHeight="1" x14ac:dyDescent="0.25"/>
    <row r="325" s="37" customFormat="1" ht="15.75" customHeight="1" x14ac:dyDescent="0.25"/>
    <row r="326" s="37" customFormat="1" ht="15.75" customHeight="1" x14ac:dyDescent="0.25"/>
    <row r="327" s="37" customFormat="1" ht="15.75" customHeight="1" x14ac:dyDescent="0.25"/>
    <row r="328" s="37" customFormat="1" ht="15.75" customHeight="1" x14ac:dyDescent="0.25"/>
    <row r="329" s="37" customFormat="1" ht="15.75" customHeight="1" x14ac:dyDescent="0.25"/>
    <row r="330" s="37" customFormat="1" ht="15.75" customHeight="1" x14ac:dyDescent="0.25"/>
    <row r="331" s="37" customFormat="1" ht="15.75" customHeight="1" x14ac:dyDescent="0.25"/>
    <row r="332" s="37" customFormat="1" ht="15.75" customHeight="1" x14ac:dyDescent="0.25"/>
    <row r="333" s="37" customFormat="1" ht="15.75" customHeight="1" x14ac:dyDescent="0.25"/>
    <row r="334" s="37" customFormat="1" ht="15.75" customHeight="1" x14ac:dyDescent="0.25"/>
    <row r="335" s="37" customFormat="1" ht="15.75" customHeight="1" x14ac:dyDescent="0.25"/>
    <row r="336" s="37" customFormat="1" ht="15.75" customHeight="1" x14ac:dyDescent="0.25"/>
    <row r="337" s="37" customFormat="1" ht="15.75" customHeight="1" x14ac:dyDescent="0.25"/>
    <row r="338" s="37" customFormat="1" ht="15.75" customHeight="1" x14ac:dyDescent="0.25"/>
    <row r="339" s="37" customFormat="1" ht="15.75" customHeight="1" x14ac:dyDescent="0.25"/>
    <row r="340" s="37" customFormat="1" ht="15.75" customHeight="1" x14ac:dyDescent="0.25"/>
    <row r="341" s="37" customFormat="1" ht="15.75" customHeight="1" x14ac:dyDescent="0.25"/>
    <row r="342" s="37" customFormat="1" ht="15.75" customHeight="1" x14ac:dyDescent="0.25"/>
    <row r="343" s="37" customFormat="1" ht="15.75" customHeight="1" x14ac:dyDescent="0.25"/>
    <row r="344" s="37" customFormat="1" ht="15.75" customHeight="1" x14ac:dyDescent="0.25"/>
    <row r="345" s="37" customFormat="1" ht="15.75" customHeight="1" x14ac:dyDescent="0.25"/>
    <row r="346" s="37" customFormat="1" ht="15.75" customHeight="1" x14ac:dyDescent="0.25"/>
    <row r="347" s="37" customFormat="1" ht="15.75" customHeight="1" x14ac:dyDescent="0.25"/>
    <row r="348" s="37" customFormat="1" ht="15.75" customHeight="1" x14ac:dyDescent="0.25"/>
    <row r="349" s="37" customFormat="1" ht="15.75" customHeight="1" x14ac:dyDescent="0.25"/>
    <row r="350" s="37" customFormat="1" ht="15.75" customHeight="1" x14ac:dyDescent="0.25"/>
    <row r="351" s="37" customFormat="1" ht="15.75" customHeight="1" x14ac:dyDescent="0.25"/>
    <row r="352" s="37" customFormat="1" ht="15.75" customHeight="1" x14ac:dyDescent="0.25"/>
    <row r="353" s="37" customFormat="1" ht="15.75" customHeight="1" x14ac:dyDescent="0.25"/>
    <row r="354" s="37" customFormat="1" ht="15.75" customHeight="1" x14ac:dyDescent="0.25"/>
    <row r="355" s="37" customFormat="1" ht="15.75" customHeight="1" x14ac:dyDescent="0.25"/>
    <row r="356" s="37" customFormat="1" ht="15.75" customHeight="1" x14ac:dyDescent="0.25"/>
    <row r="357" s="37" customFormat="1" ht="15.75" customHeight="1" x14ac:dyDescent="0.25"/>
    <row r="358" s="37" customFormat="1" ht="15.75" customHeight="1" x14ac:dyDescent="0.25"/>
    <row r="359" s="37" customFormat="1" ht="15.75" customHeight="1" x14ac:dyDescent="0.25"/>
    <row r="360" s="37" customFormat="1" ht="15.75" customHeight="1" x14ac:dyDescent="0.25"/>
    <row r="361" s="37" customFormat="1" ht="15.75" customHeight="1" x14ac:dyDescent="0.25"/>
    <row r="362" s="37" customFormat="1" ht="15.75" customHeight="1" x14ac:dyDescent="0.25"/>
    <row r="363" s="37" customFormat="1" ht="15.75" customHeight="1" x14ac:dyDescent="0.25"/>
    <row r="364" s="37" customFormat="1" ht="15.75" customHeight="1" x14ac:dyDescent="0.25"/>
    <row r="365" s="37" customFormat="1" ht="15.75" customHeight="1" x14ac:dyDescent="0.25"/>
    <row r="366" s="37" customFormat="1" ht="15.75" customHeight="1" x14ac:dyDescent="0.25"/>
    <row r="367" s="37" customFormat="1" ht="15.75" customHeight="1" x14ac:dyDescent="0.25"/>
    <row r="368" s="37" customFormat="1" ht="15.75" customHeight="1" x14ac:dyDescent="0.25"/>
    <row r="369" s="37" customFormat="1" ht="15.75" customHeight="1" x14ac:dyDescent="0.25"/>
    <row r="370" s="37" customFormat="1" ht="15.75" customHeight="1" x14ac:dyDescent="0.25"/>
    <row r="371" s="37" customFormat="1" ht="15.75" customHeight="1" x14ac:dyDescent="0.25"/>
    <row r="372" s="37" customFormat="1" ht="15.75" customHeight="1" x14ac:dyDescent="0.25"/>
    <row r="373" s="37" customFormat="1" ht="15.75" customHeight="1" x14ac:dyDescent="0.25"/>
    <row r="374" s="37" customFormat="1" ht="15.75" customHeight="1" x14ac:dyDescent="0.25"/>
    <row r="375" s="37" customFormat="1" ht="15.75" customHeight="1" x14ac:dyDescent="0.25"/>
    <row r="376" s="37" customFormat="1" ht="15.75" customHeight="1" x14ac:dyDescent="0.25"/>
    <row r="377" s="37" customFormat="1" ht="15.75" customHeight="1" x14ac:dyDescent="0.25"/>
    <row r="378" s="37" customFormat="1" ht="15.75" customHeight="1" x14ac:dyDescent="0.25"/>
    <row r="379" s="37" customFormat="1" ht="15.75" customHeight="1" x14ac:dyDescent="0.25"/>
    <row r="380" s="37" customFormat="1" ht="15.75" customHeight="1" x14ac:dyDescent="0.25"/>
    <row r="381" s="37" customFormat="1" ht="15.75" customHeight="1" x14ac:dyDescent="0.25"/>
    <row r="382" s="37" customFormat="1" ht="15.75" customHeight="1" x14ac:dyDescent="0.25"/>
    <row r="383" s="37" customFormat="1" ht="15.75" customHeight="1" x14ac:dyDescent="0.25"/>
    <row r="384" s="37" customFormat="1" ht="15.75" customHeight="1" x14ac:dyDescent="0.25"/>
    <row r="385" s="37" customFormat="1" ht="15.75" customHeight="1" x14ac:dyDescent="0.25"/>
    <row r="386" s="37" customFormat="1" ht="15.75" customHeight="1" x14ac:dyDescent="0.25"/>
    <row r="387" s="37" customFormat="1" ht="15.75" customHeight="1" x14ac:dyDescent="0.25"/>
    <row r="388" s="37" customFormat="1" ht="15.75" customHeight="1" x14ac:dyDescent="0.25"/>
    <row r="389" s="37" customFormat="1" ht="15.75" customHeight="1" x14ac:dyDescent="0.25"/>
    <row r="390" s="37" customFormat="1" ht="15.75" customHeight="1" x14ac:dyDescent="0.25"/>
    <row r="391" s="37" customFormat="1" ht="15.75" customHeight="1" x14ac:dyDescent="0.25"/>
    <row r="392" s="37" customFormat="1" ht="15.75" customHeight="1" x14ac:dyDescent="0.25"/>
    <row r="393" s="37" customFormat="1" ht="15.75" customHeight="1" x14ac:dyDescent="0.25"/>
    <row r="394" s="37" customFormat="1" ht="15.75" customHeight="1" x14ac:dyDescent="0.25"/>
    <row r="395" s="37" customFormat="1" ht="15.75" customHeight="1" x14ac:dyDescent="0.25"/>
    <row r="396" s="37" customFormat="1" ht="15.75" customHeight="1" x14ac:dyDescent="0.25"/>
    <row r="397" s="37" customFormat="1" ht="15.75" customHeight="1" x14ac:dyDescent="0.25"/>
    <row r="398" s="37" customFormat="1" ht="15.75" customHeight="1" x14ac:dyDescent="0.25"/>
    <row r="399" s="37" customFormat="1" ht="15.75" customHeight="1" x14ac:dyDescent="0.25"/>
    <row r="400" s="37" customFormat="1" ht="15.75" customHeight="1" x14ac:dyDescent="0.25"/>
    <row r="401" s="37" customFormat="1" ht="15.75" customHeight="1" x14ac:dyDescent="0.25"/>
    <row r="402" s="37" customFormat="1" ht="15.75" customHeight="1" x14ac:dyDescent="0.25"/>
    <row r="403" s="37" customFormat="1" ht="15.75" customHeight="1" x14ac:dyDescent="0.25"/>
    <row r="404" s="37" customFormat="1" ht="15.75" customHeight="1" x14ac:dyDescent="0.25"/>
    <row r="405" s="37" customFormat="1" ht="15.75" customHeight="1" x14ac:dyDescent="0.25"/>
    <row r="406" s="37" customFormat="1" ht="15.75" customHeight="1" x14ac:dyDescent="0.25"/>
    <row r="407" s="37" customFormat="1" ht="15.75" customHeight="1" x14ac:dyDescent="0.25"/>
    <row r="408" s="37" customFormat="1" ht="15.75" customHeight="1" x14ac:dyDescent="0.25"/>
    <row r="409" s="37" customFormat="1" ht="15.75" customHeight="1" x14ac:dyDescent="0.25"/>
    <row r="410" s="37" customFormat="1" ht="15.75" customHeight="1" x14ac:dyDescent="0.25"/>
    <row r="411" s="37" customFormat="1" ht="15.75" customHeight="1" x14ac:dyDescent="0.25"/>
    <row r="412" s="37" customFormat="1" ht="15.75" customHeight="1" x14ac:dyDescent="0.25"/>
    <row r="413" s="37" customFormat="1" ht="15.75" customHeight="1" x14ac:dyDescent="0.25"/>
    <row r="414" s="37" customFormat="1" ht="15.75" customHeight="1" x14ac:dyDescent="0.25"/>
    <row r="415" s="37" customFormat="1" ht="15.75" customHeight="1" x14ac:dyDescent="0.25"/>
    <row r="416" s="37" customFormat="1" ht="15.75" customHeight="1" x14ac:dyDescent="0.25"/>
    <row r="417" s="37" customFormat="1" ht="15.75" customHeight="1" x14ac:dyDescent="0.25"/>
    <row r="418" s="37" customFormat="1" ht="15.75" customHeight="1" x14ac:dyDescent="0.25"/>
    <row r="419" s="37" customFormat="1" ht="15.75" customHeight="1" x14ac:dyDescent="0.25"/>
    <row r="420" s="37" customFormat="1" ht="15.75" customHeight="1" x14ac:dyDescent="0.25"/>
    <row r="421" s="37" customFormat="1" ht="15.75" customHeight="1" x14ac:dyDescent="0.25"/>
    <row r="422" s="37" customFormat="1" ht="15.75" customHeight="1" x14ac:dyDescent="0.25"/>
    <row r="423" s="37" customFormat="1" ht="15.75" customHeight="1" x14ac:dyDescent="0.25"/>
    <row r="424" s="37" customFormat="1" ht="15.75" customHeight="1" x14ac:dyDescent="0.25"/>
    <row r="425" s="37" customFormat="1" ht="15.75" customHeight="1" x14ac:dyDescent="0.25"/>
    <row r="426" s="37" customFormat="1" ht="15.75" customHeight="1" x14ac:dyDescent="0.25"/>
    <row r="427" s="37" customFormat="1" ht="15.75" customHeight="1" x14ac:dyDescent="0.25"/>
    <row r="428" s="37" customFormat="1" ht="15.75" customHeight="1" x14ac:dyDescent="0.25"/>
    <row r="429" s="37" customFormat="1" ht="15.75" customHeight="1" x14ac:dyDescent="0.25"/>
    <row r="430" s="37" customFormat="1" ht="15.75" customHeight="1" x14ac:dyDescent="0.25"/>
    <row r="431" s="37" customFormat="1" ht="15.75" customHeight="1" x14ac:dyDescent="0.25"/>
    <row r="432" s="37" customFormat="1" ht="15.75" customHeight="1" x14ac:dyDescent="0.25"/>
    <row r="433" s="37" customFormat="1" ht="15.75" customHeight="1" x14ac:dyDescent="0.25"/>
    <row r="434" s="37" customFormat="1" ht="15.75" customHeight="1" x14ac:dyDescent="0.25"/>
    <row r="435" s="37" customFormat="1" ht="15.75" customHeight="1" x14ac:dyDescent="0.25"/>
    <row r="436" s="37" customFormat="1" ht="15.75" customHeight="1" x14ac:dyDescent="0.25"/>
    <row r="437" s="37" customFormat="1" ht="15.75" customHeight="1" x14ac:dyDescent="0.25"/>
    <row r="438" s="37" customFormat="1" ht="15.75" customHeight="1" x14ac:dyDescent="0.25"/>
    <row r="439" s="37" customFormat="1" ht="15.75" customHeight="1" x14ac:dyDescent="0.25"/>
    <row r="440" s="37" customFormat="1" ht="15.75" customHeight="1" x14ac:dyDescent="0.25"/>
    <row r="441" s="37" customFormat="1" ht="15.75" customHeight="1" x14ac:dyDescent="0.25"/>
    <row r="442" s="37" customFormat="1" ht="15.75" customHeight="1" x14ac:dyDescent="0.25"/>
    <row r="443" s="37" customFormat="1" ht="15.75" customHeight="1" x14ac:dyDescent="0.25"/>
    <row r="444" s="37" customFormat="1" ht="15.75" customHeight="1" x14ac:dyDescent="0.25"/>
    <row r="445" s="37" customFormat="1" ht="15.75" customHeight="1" x14ac:dyDescent="0.25"/>
    <row r="446" s="37" customFormat="1" ht="15.75" customHeight="1" x14ac:dyDescent="0.25"/>
    <row r="447" s="37" customFormat="1" ht="15.75" customHeight="1" x14ac:dyDescent="0.25"/>
    <row r="448" s="37" customFormat="1" ht="15.75" customHeight="1" x14ac:dyDescent="0.25"/>
    <row r="449" s="37" customFormat="1" ht="15.75" customHeight="1" x14ac:dyDescent="0.25"/>
    <row r="450" s="37" customFormat="1" ht="15.75" customHeight="1" x14ac:dyDescent="0.25"/>
    <row r="451" s="37" customFormat="1" ht="15.75" customHeight="1" x14ac:dyDescent="0.25"/>
    <row r="452" s="37" customFormat="1" ht="15.75" customHeight="1" x14ac:dyDescent="0.25"/>
    <row r="453" s="37" customFormat="1" ht="15.75" customHeight="1" x14ac:dyDescent="0.25"/>
    <row r="454" s="37" customFormat="1" ht="15.75" customHeight="1" x14ac:dyDescent="0.25"/>
    <row r="455" s="37" customFormat="1" ht="15.75" customHeight="1" x14ac:dyDescent="0.25"/>
    <row r="456" s="37" customFormat="1" ht="15.75" customHeight="1" x14ac:dyDescent="0.25"/>
    <row r="457" s="37" customFormat="1" ht="15.75" customHeight="1" x14ac:dyDescent="0.25"/>
    <row r="458" s="37" customFormat="1" ht="15.75" customHeight="1" x14ac:dyDescent="0.25"/>
    <row r="459" s="37" customFormat="1" ht="15.75" customHeight="1" x14ac:dyDescent="0.25"/>
    <row r="460" s="37" customFormat="1" ht="15.75" customHeight="1" x14ac:dyDescent="0.25"/>
    <row r="461" s="37" customFormat="1" ht="15.75" customHeight="1" x14ac:dyDescent="0.25"/>
    <row r="462" s="37" customFormat="1" ht="15.75" customHeight="1" x14ac:dyDescent="0.25"/>
    <row r="463" s="37" customFormat="1" ht="15.75" customHeight="1" x14ac:dyDescent="0.25"/>
    <row r="464" s="37" customFormat="1" ht="15.75" customHeight="1" x14ac:dyDescent="0.25"/>
    <row r="465" s="37" customFormat="1" ht="15.75" customHeight="1" x14ac:dyDescent="0.25"/>
    <row r="466" s="37" customFormat="1" ht="15.75" customHeight="1" x14ac:dyDescent="0.25"/>
    <row r="467" s="37" customFormat="1" ht="15.75" customHeight="1" x14ac:dyDescent="0.25"/>
    <row r="468" s="37" customFormat="1" ht="15.75" customHeight="1" x14ac:dyDescent="0.25"/>
    <row r="469" s="37" customFormat="1" ht="15.75" customHeight="1" x14ac:dyDescent="0.25"/>
    <row r="470" s="37" customFormat="1" ht="15.75" customHeight="1" x14ac:dyDescent="0.25"/>
    <row r="471" s="37" customFormat="1" ht="15.75" customHeight="1" x14ac:dyDescent="0.25"/>
    <row r="472" s="37" customFormat="1" ht="15.75" customHeight="1" x14ac:dyDescent="0.25"/>
    <row r="473" s="37" customFormat="1" ht="15.75" customHeight="1" x14ac:dyDescent="0.25"/>
    <row r="474" s="37" customFormat="1" ht="15.75" customHeight="1" x14ac:dyDescent="0.25"/>
    <row r="475" s="37" customFormat="1" ht="15.75" customHeight="1" x14ac:dyDescent="0.25"/>
    <row r="476" s="37" customFormat="1" ht="15.75" customHeight="1" x14ac:dyDescent="0.25"/>
    <row r="477" s="37" customFormat="1" ht="15.75" customHeight="1" x14ac:dyDescent="0.25"/>
    <row r="478" s="37" customFormat="1" ht="15.75" customHeight="1" x14ac:dyDescent="0.25"/>
    <row r="479" s="37" customFormat="1" ht="15.75" customHeight="1" x14ac:dyDescent="0.25"/>
    <row r="480" s="37" customFormat="1" ht="15.75" customHeight="1" x14ac:dyDescent="0.25"/>
    <row r="481" s="37" customFormat="1" ht="15.75" customHeight="1" x14ac:dyDescent="0.25"/>
    <row r="482" s="37" customFormat="1" ht="15.75" customHeight="1" x14ac:dyDescent="0.25"/>
    <row r="483" s="37" customFormat="1" ht="15.75" customHeight="1" x14ac:dyDescent="0.25"/>
    <row r="484" s="37" customFormat="1" ht="15.75" customHeight="1" x14ac:dyDescent="0.25"/>
    <row r="485" s="37" customFormat="1" ht="15.75" customHeight="1" x14ac:dyDescent="0.25"/>
    <row r="486" s="37" customFormat="1" ht="15.75" customHeight="1" x14ac:dyDescent="0.25"/>
    <row r="487" s="37" customFormat="1" ht="15.75" customHeight="1" x14ac:dyDescent="0.25"/>
    <row r="488" s="37" customFormat="1" ht="15.75" customHeight="1" x14ac:dyDescent="0.25"/>
    <row r="489" s="37" customFormat="1" ht="15.75" customHeight="1" x14ac:dyDescent="0.25"/>
    <row r="490" s="37" customFormat="1" ht="15.75" customHeight="1" x14ac:dyDescent="0.25"/>
    <row r="491" s="37" customFormat="1" ht="15.75" customHeight="1" x14ac:dyDescent="0.25"/>
    <row r="492" s="37" customFormat="1" ht="15.75" customHeight="1" x14ac:dyDescent="0.25"/>
    <row r="493" s="37" customFormat="1" ht="15.75" customHeight="1" x14ac:dyDescent="0.25"/>
    <row r="494" s="37" customFormat="1" ht="15.75" customHeight="1" x14ac:dyDescent="0.25"/>
    <row r="495" s="37" customFormat="1" ht="15.75" customHeight="1" x14ac:dyDescent="0.25"/>
    <row r="496" s="37" customFormat="1" ht="15.75" customHeight="1" x14ac:dyDescent="0.25"/>
    <row r="497" s="37" customFormat="1" ht="15.75" customHeight="1" x14ac:dyDescent="0.25"/>
    <row r="498" s="37" customFormat="1" ht="15.75" customHeight="1" x14ac:dyDescent="0.25"/>
    <row r="499" s="37" customFormat="1" ht="15.75" customHeight="1" x14ac:dyDescent="0.25"/>
    <row r="500" s="37" customFormat="1" ht="15.75" customHeight="1" x14ac:dyDescent="0.25"/>
    <row r="501" s="37" customFormat="1" ht="15.75" customHeight="1" x14ac:dyDescent="0.25"/>
    <row r="502" s="37" customFormat="1" ht="15.75" customHeight="1" x14ac:dyDescent="0.25"/>
    <row r="503" s="37" customFormat="1" ht="15.75" customHeight="1" x14ac:dyDescent="0.25"/>
    <row r="504" s="37" customFormat="1" ht="15.75" customHeight="1" x14ac:dyDescent="0.25"/>
    <row r="505" s="37" customFormat="1" ht="15.75" customHeight="1" x14ac:dyDescent="0.25"/>
    <row r="506" s="37" customFormat="1" ht="15.75" customHeight="1" x14ac:dyDescent="0.25"/>
    <row r="507" s="37" customFormat="1" ht="15.75" customHeight="1" x14ac:dyDescent="0.25"/>
    <row r="508" s="37" customFormat="1" ht="15.75" customHeight="1" x14ac:dyDescent="0.25"/>
    <row r="509" s="37" customFormat="1" ht="15.75" customHeight="1" x14ac:dyDescent="0.25"/>
    <row r="510" s="37" customFormat="1" ht="15.75" customHeight="1" x14ac:dyDescent="0.25"/>
    <row r="511" s="37" customFormat="1" ht="15.75" customHeight="1" x14ac:dyDescent="0.25"/>
    <row r="512" s="37" customFormat="1" ht="15.75" customHeight="1" x14ac:dyDescent="0.25"/>
    <row r="513" s="37" customFormat="1" ht="15.75" customHeight="1" x14ac:dyDescent="0.25"/>
    <row r="514" s="37" customFormat="1" ht="15.75" customHeight="1" x14ac:dyDescent="0.25"/>
    <row r="515" s="37" customFormat="1" ht="15.75" customHeight="1" x14ac:dyDescent="0.25"/>
    <row r="516" s="37" customFormat="1" ht="15.75" customHeight="1" x14ac:dyDescent="0.25"/>
    <row r="517" s="37" customFormat="1" ht="15.75" customHeight="1" x14ac:dyDescent="0.25"/>
    <row r="518" s="37" customFormat="1" ht="15.75" customHeight="1" x14ac:dyDescent="0.25"/>
    <row r="519" s="37" customFormat="1" ht="15.75" customHeight="1" x14ac:dyDescent="0.25"/>
    <row r="520" s="37" customFormat="1" ht="15.75" customHeight="1" x14ac:dyDescent="0.25"/>
    <row r="521" s="37" customFormat="1" ht="15.75" customHeight="1" x14ac:dyDescent="0.25"/>
    <row r="522" s="37" customFormat="1" ht="15.75" customHeight="1" x14ac:dyDescent="0.25"/>
    <row r="523" s="37" customFormat="1" ht="15.75" customHeight="1" x14ac:dyDescent="0.25"/>
    <row r="524" s="37" customFormat="1" ht="15.75" customHeight="1" x14ac:dyDescent="0.25"/>
    <row r="525" s="37" customFormat="1" ht="15.75" customHeight="1" x14ac:dyDescent="0.25"/>
    <row r="526" s="37" customFormat="1" ht="15.75" customHeight="1" x14ac:dyDescent="0.25"/>
    <row r="527" s="37" customFormat="1" ht="15.75" customHeight="1" x14ac:dyDescent="0.25"/>
    <row r="528" s="37" customFormat="1" ht="15.75" customHeight="1" x14ac:dyDescent="0.25"/>
    <row r="529" s="37" customFormat="1" ht="15.75" customHeight="1" x14ac:dyDescent="0.25"/>
    <row r="530" s="37" customFormat="1" ht="15.75" customHeight="1" x14ac:dyDescent="0.25"/>
    <row r="531" s="37" customFormat="1" ht="15.75" customHeight="1" x14ac:dyDescent="0.25"/>
    <row r="532" s="37" customFormat="1" ht="15.75" customHeight="1" x14ac:dyDescent="0.25"/>
    <row r="533" s="37" customFormat="1" ht="15.75" customHeight="1" x14ac:dyDescent="0.25"/>
    <row r="534" s="37" customFormat="1" ht="15.75" customHeight="1" x14ac:dyDescent="0.25"/>
    <row r="535" s="37" customFormat="1" ht="15.75" customHeight="1" x14ac:dyDescent="0.25"/>
    <row r="536" s="37" customFormat="1" ht="15.75" customHeight="1" x14ac:dyDescent="0.25"/>
    <row r="537" s="37" customFormat="1" ht="15.75" customHeight="1" x14ac:dyDescent="0.25"/>
    <row r="538" s="37" customFormat="1" ht="15.75" customHeight="1" x14ac:dyDescent="0.25"/>
    <row r="539" s="37" customFormat="1" ht="15.75" customHeight="1" x14ac:dyDescent="0.25"/>
    <row r="540" s="37" customFormat="1" ht="15.75" customHeight="1" x14ac:dyDescent="0.25"/>
    <row r="541" s="37" customFormat="1" ht="15.75" customHeight="1" x14ac:dyDescent="0.25"/>
    <row r="542" s="37" customFormat="1" ht="15.75" customHeight="1" x14ac:dyDescent="0.25"/>
    <row r="543" s="37" customFormat="1" ht="15.75" customHeight="1" x14ac:dyDescent="0.25"/>
    <row r="544" s="37" customFormat="1" ht="15.75" customHeight="1" x14ac:dyDescent="0.25"/>
    <row r="545" s="37" customFormat="1" ht="15.75" customHeight="1" x14ac:dyDescent="0.25"/>
    <row r="546" s="37" customFormat="1" ht="15.75" customHeight="1" x14ac:dyDescent="0.25"/>
    <row r="547" s="37" customFormat="1" ht="15.75" customHeight="1" x14ac:dyDescent="0.25"/>
    <row r="548" s="37" customFormat="1" ht="15.75" customHeight="1" x14ac:dyDescent="0.25"/>
    <row r="549" s="37" customFormat="1" ht="15.75" customHeight="1" x14ac:dyDescent="0.25"/>
    <row r="550" s="37" customFormat="1" ht="15.75" customHeight="1" x14ac:dyDescent="0.25"/>
    <row r="551" s="37" customFormat="1" ht="15.75" customHeight="1" x14ac:dyDescent="0.25"/>
    <row r="552" s="37" customFormat="1" ht="15.75" customHeight="1" x14ac:dyDescent="0.25"/>
    <row r="553" s="37" customFormat="1" ht="15.75" customHeight="1" x14ac:dyDescent="0.25"/>
    <row r="554" s="37" customFormat="1" ht="15.75" customHeight="1" x14ac:dyDescent="0.25"/>
    <row r="555" s="37" customFormat="1" ht="15.75" customHeight="1" x14ac:dyDescent="0.25"/>
    <row r="556" s="37" customFormat="1" ht="15.75" customHeight="1" x14ac:dyDescent="0.25"/>
    <row r="557" s="37" customFormat="1" ht="15.75" customHeight="1" x14ac:dyDescent="0.25"/>
    <row r="558" s="37" customFormat="1" ht="15.75" customHeight="1" x14ac:dyDescent="0.25"/>
    <row r="559" s="37" customFormat="1" ht="15.75" customHeight="1" x14ac:dyDescent="0.25"/>
    <row r="560" s="37" customFormat="1" ht="15.75" customHeight="1" x14ac:dyDescent="0.25"/>
    <row r="561" s="37" customFormat="1" ht="15.75" customHeight="1" x14ac:dyDescent="0.25"/>
    <row r="562" s="37" customFormat="1" ht="15.75" customHeight="1" x14ac:dyDescent="0.25"/>
    <row r="563" s="37" customFormat="1" ht="15.75" customHeight="1" x14ac:dyDescent="0.25"/>
    <row r="564" s="37" customFormat="1" ht="15.75" customHeight="1" x14ac:dyDescent="0.25"/>
    <row r="565" s="37" customFormat="1" ht="15.75" customHeight="1" x14ac:dyDescent="0.25"/>
    <row r="566" s="37" customFormat="1" ht="15.75" customHeight="1" x14ac:dyDescent="0.25"/>
    <row r="567" s="37" customFormat="1" ht="15.75" customHeight="1" x14ac:dyDescent="0.25"/>
    <row r="568" s="37" customFormat="1" ht="15.75" customHeight="1" x14ac:dyDescent="0.25"/>
    <row r="569" s="37" customFormat="1" ht="15.75" customHeight="1" x14ac:dyDescent="0.25"/>
    <row r="570" s="37" customFormat="1" ht="15.75" customHeight="1" x14ac:dyDescent="0.25"/>
    <row r="571" s="37" customFormat="1" ht="15.75" customHeight="1" x14ac:dyDescent="0.25"/>
    <row r="572" s="37" customFormat="1" ht="15.75" customHeight="1" x14ac:dyDescent="0.25"/>
    <row r="573" s="37" customFormat="1" ht="15.75" customHeight="1" x14ac:dyDescent="0.25"/>
    <row r="574" s="37" customFormat="1" ht="15.75" customHeight="1" x14ac:dyDescent="0.25"/>
    <row r="575" s="37" customFormat="1" ht="15.75" customHeight="1" x14ac:dyDescent="0.25"/>
    <row r="576" s="37" customFormat="1" ht="15.75" customHeight="1" x14ac:dyDescent="0.25"/>
    <row r="577" s="37" customFormat="1" ht="15.75" customHeight="1" x14ac:dyDescent="0.25"/>
    <row r="578" s="37" customFormat="1" ht="15.75" customHeight="1" x14ac:dyDescent="0.25"/>
    <row r="579" s="37" customFormat="1" ht="15.75" customHeight="1" x14ac:dyDescent="0.25"/>
    <row r="580" s="37" customFormat="1" ht="15.75" customHeight="1" x14ac:dyDescent="0.25"/>
    <row r="581" s="37" customFormat="1" ht="15.75" customHeight="1" x14ac:dyDescent="0.25"/>
    <row r="582" s="37" customFormat="1" ht="15.75" customHeight="1" x14ac:dyDescent="0.25"/>
    <row r="583" s="37" customFormat="1" ht="15.75" customHeight="1" x14ac:dyDescent="0.25"/>
    <row r="584" s="37" customFormat="1" ht="15.75" customHeight="1" x14ac:dyDescent="0.25"/>
    <row r="585" s="37" customFormat="1" ht="15.75" customHeight="1" x14ac:dyDescent="0.25"/>
    <row r="586" s="37" customFormat="1" ht="15.75" customHeight="1" x14ac:dyDescent="0.25"/>
    <row r="587" s="37" customFormat="1" ht="15.75" customHeight="1" x14ac:dyDescent="0.25"/>
    <row r="588" s="37" customFormat="1" ht="15.75" customHeight="1" x14ac:dyDescent="0.25"/>
    <row r="589" s="37" customFormat="1" ht="15.75" customHeight="1" x14ac:dyDescent="0.25"/>
    <row r="590" s="37" customFormat="1" ht="15.75" customHeight="1" x14ac:dyDescent="0.25"/>
    <row r="591" s="37" customFormat="1" ht="15.75" customHeight="1" x14ac:dyDescent="0.25"/>
    <row r="592" s="37" customFormat="1" ht="15.75" customHeight="1" x14ac:dyDescent="0.25"/>
    <row r="593" s="37" customFormat="1" ht="15.75" customHeight="1" x14ac:dyDescent="0.25"/>
    <row r="594" s="37" customFormat="1" ht="15.75" customHeight="1" x14ac:dyDescent="0.25"/>
    <row r="595" s="37" customFormat="1" ht="15.75" customHeight="1" x14ac:dyDescent="0.25"/>
    <row r="596" s="37" customFormat="1" ht="15.75" customHeight="1" x14ac:dyDescent="0.25"/>
    <row r="597" s="37" customFormat="1" ht="15.75" customHeight="1" x14ac:dyDescent="0.25"/>
    <row r="598" s="37" customFormat="1" ht="15.75" customHeight="1" x14ac:dyDescent="0.25"/>
    <row r="599" s="37" customFormat="1" ht="15.75" customHeight="1" x14ac:dyDescent="0.25"/>
    <row r="600" s="37" customFormat="1" ht="15.75" customHeight="1" x14ac:dyDescent="0.25"/>
    <row r="601" s="37" customFormat="1" ht="15.75" customHeight="1" x14ac:dyDescent="0.25"/>
    <row r="602" s="37" customFormat="1" ht="15.75" customHeight="1" x14ac:dyDescent="0.25"/>
    <row r="603" s="37" customFormat="1" ht="15.75" customHeight="1" x14ac:dyDescent="0.25"/>
    <row r="604" s="37" customFormat="1" ht="15.75" customHeight="1" x14ac:dyDescent="0.25"/>
    <row r="605" s="37" customFormat="1" ht="15.75" customHeight="1" x14ac:dyDescent="0.25"/>
    <row r="606" s="37" customFormat="1" ht="15.75" customHeight="1" x14ac:dyDescent="0.25"/>
    <row r="607" s="37" customFormat="1" ht="15.75" customHeight="1" x14ac:dyDescent="0.25"/>
    <row r="608" s="37" customFormat="1" ht="15.75" customHeight="1" x14ac:dyDescent="0.25"/>
    <row r="609" s="37" customFormat="1" ht="15.75" customHeight="1" x14ac:dyDescent="0.25"/>
    <row r="610" s="37" customFormat="1" ht="15.75" customHeight="1" x14ac:dyDescent="0.25"/>
    <row r="611" s="37" customFormat="1" ht="15.75" customHeight="1" x14ac:dyDescent="0.25"/>
    <row r="612" s="37" customFormat="1" ht="15.75" customHeight="1" x14ac:dyDescent="0.25"/>
    <row r="613" s="37" customFormat="1" ht="15.75" customHeight="1" x14ac:dyDescent="0.25"/>
    <row r="614" s="37" customFormat="1" ht="15.75" customHeight="1" x14ac:dyDescent="0.25"/>
    <row r="615" s="37" customFormat="1" ht="15.75" customHeight="1" x14ac:dyDescent="0.25"/>
    <row r="616" s="37" customFormat="1" ht="15.75" customHeight="1" x14ac:dyDescent="0.25"/>
    <row r="617" s="37" customFormat="1" ht="15.75" customHeight="1" x14ac:dyDescent="0.25"/>
    <row r="618" s="37" customFormat="1" ht="15.75" customHeight="1" x14ac:dyDescent="0.25"/>
    <row r="619" s="37" customFormat="1" ht="15.75" customHeight="1" x14ac:dyDescent="0.25"/>
    <row r="620" s="37" customFormat="1" ht="15.75" customHeight="1" x14ac:dyDescent="0.25"/>
    <row r="621" s="37" customFormat="1" ht="15.75" customHeight="1" x14ac:dyDescent="0.25"/>
    <row r="622" s="37" customFormat="1" ht="15.75" customHeight="1" x14ac:dyDescent="0.25"/>
    <row r="623" s="37" customFormat="1" ht="15.75" customHeight="1" x14ac:dyDescent="0.25"/>
    <row r="624" s="37" customFormat="1" ht="15.75" customHeight="1" x14ac:dyDescent="0.25"/>
    <row r="625" s="37" customFormat="1" ht="15.75" customHeight="1" x14ac:dyDescent="0.25"/>
    <row r="626" s="37" customFormat="1" ht="15.75" customHeight="1" x14ac:dyDescent="0.25"/>
    <row r="627" s="37" customFormat="1" ht="15.75" customHeight="1" x14ac:dyDescent="0.25"/>
    <row r="628" s="37" customFormat="1" ht="15.75" customHeight="1" x14ac:dyDescent="0.25"/>
    <row r="629" s="37" customFormat="1" ht="15.75" customHeight="1" x14ac:dyDescent="0.25"/>
    <row r="630" s="37" customFormat="1" ht="15.75" customHeight="1" x14ac:dyDescent="0.25"/>
    <row r="631" s="37" customFormat="1" ht="15.75" customHeight="1" x14ac:dyDescent="0.25"/>
    <row r="632" s="37" customFormat="1" ht="15.75" customHeight="1" x14ac:dyDescent="0.25"/>
    <row r="633" s="37" customFormat="1" ht="15.75" customHeight="1" x14ac:dyDescent="0.25"/>
    <row r="634" s="37" customFormat="1" ht="15.75" customHeight="1" x14ac:dyDescent="0.25"/>
    <row r="635" s="37" customFormat="1" ht="15.75" customHeight="1" x14ac:dyDescent="0.25"/>
    <row r="636" s="37" customFormat="1" ht="15.75" customHeight="1" x14ac:dyDescent="0.25"/>
    <row r="637" s="37" customFormat="1" ht="15.75" customHeight="1" x14ac:dyDescent="0.25"/>
    <row r="638" s="37" customFormat="1" ht="15.75" customHeight="1" x14ac:dyDescent="0.25"/>
    <row r="639" s="37" customFormat="1" ht="15.75" customHeight="1" x14ac:dyDescent="0.25"/>
    <row r="640" s="37" customFormat="1" ht="15.75" customHeight="1" x14ac:dyDescent="0.25"/>
    <row r="641" s="37" customFormat="1" ht="15.75" customHeight="1" x14ac:dyDescent="0.25"/>
    <row r="642" s="37" customFormat="1" ht="15.75" customHeight="1" x14ac:dyDescent="0.25"/>
    <row r="643" s="37" customFormat="1" ht="15.75" customHeight="1" x14ac:dyDescent="0.25"/>
    <row r="644" s="37" customFormat="1" ht="15.75" customHeight="1" x14ac:dyDescent="0.25"/>
    <row r="645" s="37" customFormat="1" ht="15.75" customHeight="1" x14ac:dyDescent="0.25"/>
    <row r="646" s="37" customFormat="1" ht="15.75" customHeight="1" x14ac:dyDescent="0.25"/>
    <row r="647" s="37" customFormat="1" ht="15.75" customHeight="1" x14ac:dyDescent="0.25"/>
    <row r="648" s="37" customFormat="1" ht="15.75" customHeight="1" x14ac:dyDescent="0.25"/>
    <row r="649" s="37" customFormat="1" ht="15.75" customHeight="1" x14ac:dyDescent="0.25"/>
    <row r="650" s="37" customFormat="1" ht="15.75" customHeight="1" x14ac:dyDescent="0.25"/>
    <row r="651" s="37" customFormat="1" ht="15.75" customHeight="1" x14ac:dyDescent="0.25"/>
    <row r="652" s="37" customFormat="1" ht="15.75" customHeight="1" x14ac:dyDescent="0.25"/>
    <row r="653" s="37" customFormat="1" ht="15.75" customHeight="1" x14ac:dyDescent="0.25"/>
    <row r="654" s="37" customFormat="1" ht="15.75" customHeight="1" x14ac:dyDescent="0.25"/>
    <row r="655" s="37" customFormat="1" ht="15.75" customHeight="1" x14ac:dyDescent="0.25"/>
    <row r="656" s="37" customFormat="1" ht="15.75" customHeight="1" x14ac:dyDescent="0.25"/>
    <row r="657" s="37" customFormat="1" ht="15.75" customHeight="1" x14ac:dyDescent="0.25"/>
    <row r="658" s="37" customFormat="1" ht="15.75" customHeight="1" x14ac:dyDescent="0.25"/>
    <row r="659" s="37" customFormat="1" ht="15.75" customHeight="1" x14ac:dyDescent="0.25"/>
    <row r="660" s="37" customFormat="1" ht="15.75" customHeight="1" x14ac:dyDescent="0.25"/>
    <row r="661" s="37" customFormat="1" ht="15.75" customHeight="1" x14ac:dyDescent="0.25"/>
    <row r="662" s="37" customFormat="1" ht="15.75" customHeight="1" x14ac:dyDescent="0.25"/>
    <row r="663" s="37" customFormat="1" ht="15.75" customHeight="1" x14ac:dyDescent="0.25"/>
    <row r="664" s="37" customFormat="1" ht="15.75" customHeight="1" x14ac:dyDescent="0.25"/>
    <row r="665" s="37" customFormat="1" ht="15.75" customHeight="1" x14ac:dyDescent="0.25"/>
    <row r="666" s="37" customFormat="1" ht="15.75" customHeight="1" x14ac:dyDescent="0.25"/>
    <row r="667" s="37" customFormat="1" ht="15.75" customHeight="1" x14ac:dyDescent="0.25"/>
    <row r="668" s="37" customFormat="1" ht="15.75" customHeight="1" x14ac:dyDescent="0.25"/>
    <row r="669" s="37" customFormat="1" ht="15.75" customHeight="1" x14ac:dyDescent="0.25"/>
    <row r="670" s="37" customFormat="1" ht="15.75" customHeight="1" x14ac:dyDescent="0.25"/>
    <row r="671" s="37" customFormat="1" ht="15.75" customHeight="1" x14ac:dyDescent="0.25"/>
    <row r="672" s="37" customFormat="1" ht="15.75" customHeight="1" x14ac:dyDescent="0.25"/>
    <row r="673" s="37" customFormat="1" ht="15.75" customHeight="1" x14ac:dyDescent="0.25"/>
    <row r="674" s="37" customFormat="1" ht="15.75" customHeight="1" x14ac:dyDescent="0.25"/>
    <row r="675" s="37" customFormat="1" ht="15.75" customHeight="1" x14ac:dyDescent="0.25"/>
    <row r="676" s="37" customFormat="1" ht="15.75" customHeight="1" x14ac:dyDescent="0.25"/>
    <row r="677" s="37" customFormat="1" ht="15.75" customHeight="1" x14ac:dyDescent="0.25"/>
    <row r="678" s="37" customFormat="1" ht="15.75" customHeight="1" x14ac:dyDescent="0.25"/>
    <row r="679" s="37" customFormat="1" ht="15.75" customHeight="1" x14ac:dyDescent="0.25"/>
    <row r="680" s="37" customFormat="1" ht="15.75" customHeight="1" x14ac:dyDescent="0.25"/>
    <row r="681" s="37" customFormat="1" ht="15.75" customHeight="1" x14ac:dyDescent="0.25"/>
    <row r="682" s="37" customFormat="1" ht="15.75" customHeight="1" x14ac:dyDescent="0.25"/>
    <row r="683" s="37" customFormat="1" ht="15.75" customHeight="1" x14ac:dyDescent="0.25"/>
    <row r="684" s="37" customFormat="1" ht="15.75" customHeight="1" x14ac:dyDescent="0.25"/>
    <row r="685" s="37" customFormat="1" ht="15.75" customHeight="1" x14ac:dyDescent="0.25"/>
    <row r="686" s="37" customFormat="1" ht="15.75" customHeight="1" x14ac:dyDescent="0.25"/>
    <row r="687" s="37" customFormat="1" ht="15.75" customHeight="1" x14ac:dyDescent="0.25"/>
    <row r="688" s="37" customFormat="1" ht="15.75" customHeight="1" x14ac:dyDescent="0.25"/>
    <row r="689" s="37" customFormat="1" ht="15.75" customHeight="1" x14ac:dyDescent="0.25"/>
    <row r="690" s="37" customFormat="1" ht="15.75" customHeight="1" x14ac:dyDescent="0.25"/>
    <row r="691" s="37" customFormat="1" ht="15.75" customHeight="1" x14ac:dyDescent="0.25"/>
    <row r="692" s="37" customFormat="1" ht="15.75" customHeight="1" x14ac:dyDescent="0.25"/>
    <row r="693" s="37" customFormat="1" ht="15.75" customHeight="1" x14ac:dyDescent="0.25"/>
    <row r="694" s="37" customFormat="1" ht="15.75" customHeight="1" x14ac:dyDescent="0.25"/>
    <row r="695" s="37" customFormat="1" ht="15.75" customHeight="1" x14ac:dyDescent="0.25"/>
    <row r="696" s="37" customFormat="1" ht="15.75" customHeight="1" x14ac:dyDescent="0.25"/>
    <row r="697" s="37" customFormat="1" ht="15.75" customHeight="1" x14ac:dyDescent="0.25"/>
    <row r="698" s="37" customFormat="1" ht="15.75" customHeight="1" x14ac:dyDescent="0.25"/>
    <row r="699" s="37" customFormat="1" ht="15.75" customHeight="1" x14ac:dyDescent="0.25"/>
    <row r="700" s="37" customFormat="1" ht="15.75" customHeight="1" x14ac:dyDescent="0.25"/>
    <row r="701" s="37" customFormat="1" ht="15.75" customHeight="1" x14ac:dyDescent="0.25"/>
    <row r="702" s="37" customFormat="1" ht="15.75" customHeight="1" x14ac:dyDescent="0.25"/>
    <row r="703" s="37" customFormat="1" ht="15.75" customHeight="1" x14ac:dyDescent="0.25"/>
    <row r="704" s="37" customFormat="1" ht="15.75" customHeight="1" x14ac:dyDescent="0.25"/>
    <row r="705" s="37" customFormat="1" ht="15.75" customHeight="1" x14ac:dyDescent="0.25"/>
    <row r="706" s="37" customFormat="1" ht="15.75" customHeight="1" x14ac:dyDescent="0.25"/>
    <row r="707" s="37" customFormat="1" ht="15.75" customHeight="1" x14ac:dyDescent="0.25"/>
    <row r="708" s="37" customFormat="1" ht="15.75" customHeight="1" x14ac:dyDescent="0.25"/>
    <row r="709" s="37" customFormat="1" ht="15.75" customHeight="1" x14ac:dyDescent="0.25"/>
    <row r="710" s="37" customFormat="1" ht="15.75" customHeight="1" x14ac:dyDescent="0.25"/>
    <row r="711" s="37" customFormat="1" ht="15.75" customHeight="1" x14ac:dyDescent="0.25"/>
    <row r="712" s="37" customFormat="1" ht="15.75" customHeight="1" x14ac:dyDescent="0.25"/>
    <row r="713" s="37" customFormat="1" ht="15.75" customHeight="1" x14ac:dyDescent="0.25"/>
    <row r="714" s="37" customFormat="1" ht="15.75" customHeight="1" x14ac:dyDescent="0.25"/>
    <row r="715" s="37" customFormat="1" ht="15.75" customHeight="1" x14ac:dyDescent="0.25"/>
    <row r="716" s="37" customFormat="1" ht="15.75" customHeight="1" x14ac:dyDescent="0.25"/>
    <row r="717" s="37" customFormat="1" ht="15.75" customHeight="1" x14ac:dyDescent="0.25"/>
    <row r="718" s="37" customFormat="1" ht="15.75" customHeight="1" x14ac:dyDescent="0.25"/>
    <row r="719" s="37" customFormat="1" ht="15.75" customHeight="1" x14ac:dyDescent="0.25"/>
    <row r="720" s="37" customFormat="1" ht="15.75" customHeight="1" x14ac:dyDescent="0.25"/>
    <row r="721" s="37" customFormat="1" ht="15.75" customHeight="1" x14ac:dyDescent="0.25"/>
    <row r="722" s="37" customFormat="1" ht="15.75" customHeight="1" x14ac:dyDescent="0.25"/>
    <row r="723" s="37" customFormat="1" ht="15.75" customHeight="1" x14ac:dyDescent="0.25"/>
    <row r="724" s="37" customFormat="1" ht="15.75" customHeight="1" x14ac:dyDescent="0.25"/>
    <row r="725" s="37" customFormat="1" ht="15.75" customHeight="1" x14ac:dyDescent="0.25"/>
    <row r="726" s="37" customFormat="1" ht="15.75" customHeight="1" x14ac:dyDescent="0.25"/>
    <row r="727" s="37" customFormat="1" ht="15.75" customHeight="1" x14ac:dyDescent="0.25"/>
    <row r="728" s="37" customFormat="1" ht="15.75" customHeight="1" x14ac:dyDescent="0.25"/>
    <row r="729" s="37" customFormat="1" ht="15.75" customHeight="1" x14ac:dyDescent="0.25"/>
    <row r="730" s="37" customFormat="1" ht="15.75" customHeight="1" x14ac:dyDescent="0.25"/>
    <row r="731" s="37" customFormat="1" ht="15.75" customHeight="1" x14ac:dyDescent="0.25"/>
    <row r="732" s="37" customFormat="1" ht="15.75" customHeight="1" x14ac:dyDescent="0.25"/>
    <row r="733" s="37" customFormat="1" ht="15.75" customHeight="1" x14ac:dyDescent="0.25"/>
    <row r="734" s="37" customFormat="1" ht="15.75" customHeight="1" x14ac:dyDescent="0.25"/>
    <row r="735" s="37" customFormat="1" ht="15.75" customHeight="1" x14ac:dyDescent="0.25"/>
    <row r="736" s="37" customFormat="1" ht="15.75" customHeight="1" x14ac:dyDescent="0.25"/>
    <row r="737" s="37" customFormat="1" ht="15.75" customHeight="1" x14ac:dyDescent="0.25"/>
    <row r="738" s="37" customFormat="1" ht="15.75" customHeight="1" x14ac:dyDescent="0.25"/>
    <row r="739" s="37" customFormat="1" ht="15.75" customHeight="1" x14ac:dyDescent="0.25"/>
    <row r="740" s="37" customFormat="1" ht="15.75" customHeight="1" x14ac:dyDescent="0.25"/>
    <row r="741" s="37" customFormat="1" ht="15.75" customHeight="1" x14ac:dyDescent="0.25"/>
    <row r="742" s="37" customFormat="1" ht="15.75" customHeight="1" x14ac:dyDescent="0.25"/>
    <row r="743" s="37" customFormat="1" ht="15.75" customHeight="1" x14ac:dyDescent="0.25"/>
    <row r="744" s="37" customFormat="1" ht="15.75" customHeight="1" x14ac:dyDescent="0.25"/>
    <row r="745" s="37" customFormat="1" ht="15.75" customHeight="1" x14ac:dyDescent="0.25"/>
    <row r="746" s="37" customFormat="1" ht="15.75" customHeight="1" x14ac:dyDescent="0.25"/>
    <row r="747" s="37" customFormat="1" ht="15.75" customHeight="1" x14ac:dyDescent="0.25"/>
    <row r="748" s="37" customFormat="1" ht="15.75" customHeight="1" x14ac:dyDescent="0.25"/>
    <row r="749" s="37" customFormat="1" ht="15.75" customHeight="1" x14ac:dyDescent="0.25"/>
    <row r="750" s="37" customFormat="1" ht="15.75" customHeight="1" x14ac:dyDescent="0.25"/>
    <row r="751" s="37" customFormat="1" ht="15.75" customHeight="1" x14ac:dyDescent="0.25"/>
    <row r="752" s="37" customFormat="1" ht="15.75" customHeight="1" x14ac:dyDescent="0.25"/>
    <row r="753" s="37" customFormat="1" ht="15.75" customHeight="1" x14ac:dyDescent="0.25"/>
    <row r="754" s="37" customFormat="1" ht="15.75" customHeight="1" x14ac:dyDescent="0.25"/>
    <row r="755" s="37" customFormat="1" ht="15.75" customHeight="1" x14ac:dyDescent="0.25"/>
    <row r="756" s="37" customFormat="1" ht="15.75" customHeight="1" x14ac:dyDescent="0.25"/>
    <row r="757" s="37" customFormat="1" ht="15.75" customHeight="1" x14ac:dyDescent="0.25"/>
    <row r="758" s="37" customFormat="1" ht="15.75" customHeight="1" x14ac:dyDescent="0.25"/>
    <row r="759" s="37" customFormat="1" ht="15.75" customHeight="1" x14ac:dyDescent="0.25"/>
    <row r="760" s="37" customFormat="1" ht="15.75" customHeight="1" x14ac:dyDescent="0.25"/>
    <row r="761" s="37" customFormat="1" ht="15.75" customHeight="1" x14ac:dyDescent="0.25"/>
    <row r="762" s="37" customFormat="1" ht="15.75" customHeight="1" x14ac:dyDescent="0.25"/>
    <row r="763" s="37" customFormat="1" ht="15.75" customHeight="1" x14ac:dyDescent="0.25"/>
    <row r="764" s="37" customFormat="1" ht="15.75" customHeight="1" x14ac:dyDescent="0.25"/>
    <row r="765" s="37" customFormat="1" ht="15.75" customHeight="1" x14ac:dyDescent="0.25"/>
    <row r="766" s="37" customFormat="1" ht="15.75" customHeight="1" x14ac:dyDescent="0.25"/>
    <row r="767" s="37" customFormat="1" ht="15.75" customHeight="1" x14ac:dyDescent="0.25"/>
    <row r="768" s="37" customFormat="1" ht="15.75" customHeight="1" x14ac:dyDescent="0.25"/>
    <row r="769" s="37" customFormat="1" ht="15.75" customHeight="1" x14ac:dyDescent="0.25"/>
    <row r="770" s="37" customFormat="1" ht="15.75" customHeight="1" x14ac:dyDescent="0.25"/>
    <row r="771" s="37" customFormat="1" ht="15.75" customHeight="1" x14ac:dyDescent="0.25"/>
    <row r="772" s="37" customFormat="1" ht="15.75" customHeight="1" x14ac:dyDescent="0.25"/>
    <row r="773" s="37" customFormat="1" ht="15.75" customHeight="1" x14ac:dyDescent="0.25"/>
    <row r="774" s="37" customFormat="1" ht="15.75" customHeight="1" x14ac:dyDescent="0.25"/>
    <row r="775" s="37" customFormat="1" ht="15.75" customHeight="1" x14ac:dyDescent="0.25"/>
    <row r="776" s="37" customFormat="1" ht="15.75" customHeight="1" x14ac:dyDescent="0.25"/>
    <row r="777" s="37" customFormat="1" ht="15.75" customHeight="1" x14ac:dyDescent="0.25"/>
    <row r="778" s="37" customFormat="1" ht="15.75" customHeight="1" x14ac:dyDescent="0.25"/>
    <row r="779" s="37" customFormat="1" ht="15.75" customHeight="1" x14ac:dyDescent="0.25"/>
    <row r="780" s="37" customFormat="1" ht="15.75" customHeight="1" x14ac:dyDescent="0.25"/>
    <row r="781" s="37" customFormat="1" ht="15.75" customHeight="1" x14ac:dyDescent="0.25"/>
    <row r="782" s="37" customFormat="1" ht="15.75" customHeight="1" x14ac:dyDescent="0.25"/>
    <row r="783" s="37" customFormat="1" ht="15.75" customHeight="1" x14ac:dyDescent="0.25"/>
    <row r="784" s="37" customFormat="1" ht="15.75" customHeight="1" x14ac:dyDescent="0.25"/>
    <row r="785" s="37" customFormat="1" ht="15.75" customHeight="1" x14ac:dyDescent="0.25"/>
    <row r="786" s="37" customFormat="1" ht="15.75" customHeight="1" x14ac:dyDescent="0.25"/>
    <row r="787" s="37" customFormat="1" ht="15.75" customHeight="1" x14ac:dyDescent="0.25"/>
    <row r="788" s="37" customFormat="1" ht="15.75" customHeight="1" x14ac:dyDescent="0.25"/>
    <row r="789" s="37" customFormat="1" ht="15.75" customHeight="1" x14ac:dyDescent="0.25"/>
    <row r="790" s="37" customFormat="1" ht="15.75" customHeight="1" x14ac:dyDescent="0.25"/>
    <row r="791" s="37" customFormat="1" ht="15.75" customHeight="1" x14ac:dyDescent="0.25"/>
    <row r="792" s="37" customFormat="1" ht="15.75" customHeight="1" x14ac:dyDescent="0.25"/>
    <row r="793" s="37" customFormat="1" ht="15.75" customHeight="1" x14ac:dyDescent="0.25"/>
    <row r="794" s="37" customFormat="1" ht="15.75" customHeight="1" x14ac:dyDescent="0.25"/>
    <row r="795" s="37" customFormat="1" ht="15.75" customHeight="1" x14ac:dyDescent="0.25"/>
    <row r="796" s="37" customFormat="1" ht="15.75" customHeight="1" x14ac:dyDescent="0.25"/>
    <row r="797" s="37" customFormat="1" ht="15.75" customHeight="1" x14ac:dyDescent="0.25"/>
    <row r="798" s="37" customFormat="1" ht="15.75" customHeight="1" x14ac:dyDescent="0.25"/>
    <row r="799" s="37" customFormat="1" ht="15.75" customHeight="1" x14ac:dyDescent="0.25"/>
    <row r="800" s="37" customFormat="1" ht="15.75" customHeight="1" x14ac:dyDescent="0.25"/>
    <row r="801" s="37" customFormat="1" ht="15.75" customHeight="1" x14ac:dyDescent="0.25"/>
    <row r="802" s="37" customFormat="1" ht="15.75" customHeight="1" x14ac:dyDescent="0.25"/>
    <row r="803" s="37" customFormat="1" ht="15.75" customHeight="1" x14ac:dyDescent="0.25"/>
    <row r="804" s="37" customFormat="1" ht="15.75" customHeight="1" x14ac:dyDescent="0.25"/>
    <row r="805" s="37" customFormat="1" ht="15.75" customHeight="1" x14ac:dyDescent="0.25"/>
    <row r="806" s="37" customFormat="1" ht="15.75" customHeight="1" x14ac:dyDescent="0.25"/>
    <row r="807" s="37" customFormat="1" ht="15.75" customHeight="1" x14ac:dyDescent="0.25"/>
    <row r="808" s="37" customFormat="1" ht="15.75" customHeight="1" x14ac:dyDescent="0.25"/>
    <row r="809" s="37" customFormat="1" ht="15.75" customHeight="1" x14ac:dyDescent="0.25"/>
    <row r="810" s="37" customFormat="1" ht="15.75" customHeight="1" x14ac:dyDescent="0.25"/>
    <row r="811" s="37" customFormat="1" ht="15.75" customHeight="1" x14ac:dyDescent="0.25"/>
    <row r="812" s="37" customFormat="1" ht="15.75" customHeight="1" x14ac:dyDescent="0.25"/>
    <row r="813" s="37" customFormat="1" ht="15.75" customHeight="1" x14ac:dyDescent="0.25"/>
    <row r="814" s="37" customFormat="1" ht="15.75" customHeight="1" x14ac:dyDescent="0.25"/>
    <row r="815" s="37" customFormat="1" ht="15.75" customHeight="1" x14ac:dyDescent="0.25"/>
    <row r="816" s="37" customFormat="1" ht="15.75" customHeight="1" x14ac:dyDescent="0.25"/>
    <row r="817" s="37" customFormat="1" ht="15.75" customHeight="1" x14ac:dyDescent="0.25"/>
    <row r="818" s="37" customFormat="1" ht="15.75" customHeight="1" x14ac:dyDescent="0.25"/>
    <row r="819" s="37" customFormat="1" ht="15.75" customHeight="1" x14ac:dyDescent="0.25"/>
    <row r="820" s="37" customFormat="1" ht="15.75" customHeight="1" x14ac:dyDescent="0.25"/>
    <row r="821" s="37" customFormat="1" ht="15.75" customHeight="1" x14ac:dyDescent="0.25"/>
    <row r="822" s="37" customFormat="1" ht="15.75" customHeight="1" x14ac:dyDescent="0.25"/>
    <row r="823" s="37" customFormat="1" ht="15.75" customHeight="1" x14ac:dyDescent="0.25"/>
    <row r="824" s="37" customFormat="1" ht="15.75" customHeight="1" x14ac:dyDescent="0.25"/>
    <row r="825" s="37" customFormat="1" ht="15.75" customHeight="1" x14ac:dyDescent="0.25"/>
    <row r="826" s="37" customFormat="1" ht="15.75" customHeight="1" x14ac:dyDescent="0.25"/>
    <row r="827" s="37" customFormat="1" ht="15.75" customHeight="1" x14ac:dyDescent="0.25"/>
    <row r="828" s="37" customFormat="1" ht="15.75" customHeight="1" x14ac:dyDescent="0.25"/>
    <row r="829" s="37" customFormat="1" ht="15.75" customHeight="1" x14ac:dyDescent="0.25"/>
    <row r="830" s="37" customFormat="1" ht="15.75" customHeight="1" x14ac:dyDescent="0.25"/>
    <row r="831" s="37" customFormat="1" ht="15.75" customHeight="1" x14ac:dyDescent="0.25"/>
    <row r="832" s="37" customFormat="1" ht="15.75" customHeight="1" x14ac:dyDescent="0.25"/>
    <row r="833" s="37" customFormat="1" ht="15.75" customHeight="1" x14ac:dyDescent="0.25"/>
    <row r="834" s="37" customFormat="1" ht="15.75" customHeight="1" x14ac:dyDescent="0.25"/>
    <row r="835" s="37" customFormat="1" ht="15.75" customHeight="1" x14ac:dyDescent="0.25"/>
    <row r="836" s="37" customFormat="1" ht="15.75" customHeight="1" x14ac:dyDescent="0.25"/>
    <row r="837" s="37" customFormat="1" ht="15.75" customHeight="1" x14ac:dyDescent="0.25"/>
    <row r="838" s="37" customFormat="1" ht="15.75" customHeight="1" x14ac:dyDescent="0.25"/>
    <row r="839" s="37" customFormat="1" ht="15.75" customHeight="1" x14ac:dyDescent="0.25"/>
    <row r="840" s="37" customFormat="1" ht="15.75" customHeight="1" x14ac:dyDescent="0.25"/>
    <row r="841" s="37" customFormat="1" ht="15.75" customHeight="1" x14ac:dyDescent="0.25"/>
    <row r="842" s="37" customFormat="1" ht="15.75" customHeight="1" x14ac:dyDescent="0.25"/>
    <row r="843" s="37" customFormat="1" ht="15.75" customHeight="1" x14ac:dyDescent="0.25"/>
    <row r="844" s="37" customFormat="1" ht="15.75" customHeight="1" x14ac:dyDescent="0.25"/>
    <row r="845" s="37" customFormat="1" ht="15.75" customHeight="1" x14ac:dyDescent="0.25"/>
    <row r="846" s="37" customFormat="1" ht="15.75" customHeight="1" x14ac:dyDescent="0.25"/>
    <row r="847" s="37" customFormat="1" ht="15.75" customHeight="1" x14ac:dyDescent="0.25"/>
    <row r="848" s="37" customFormat="1" ht="15.75" customHeight="1" x14ac:dyDescent="0.25"/>
    <row r="849" s="37" customFormat="1" ht="15.75" customHeight="1" x14ac:dyDescent="0.25"/>
    <row r="850" s="37" customFormat="1" ht="15.75" customHeight="1" x14ac:dyDescent="0.25"/>
    <row r="851" s="37" customFormat="1" ht="15.75" customHeight="1" x14ac:dyDescent="0.25"/>
    <row r="852" s="37" customFormat="1" ht="15.75" customHeight="1" x14ac:dyDescent="0.25"/>
    <row r="853" s="37" customFormat="1" ht="15.75" customHeight="1" x14ac:dyDescent="0.25"/>
    <row r="854" s="37" customFormat="1" ht="15.75" customHeight="1" x14ac:dyDescent="0.25"/>
    <row r="855" s="37" customFormat="1" ht="15.75" customHeight="1" x14ac:dyDescent="0.25"/>
    <row r="856" s="37" customFormat="1" ht="15.75" customHeight="1" x14ac:dyDescent="0.25"/>
    <row r="857" s="37" customFormat="1" ht="15.75" customHeight="1" x14ac:dyDescent="0.25"/>
    <row r="858" s="37" customFormat="1" ht="15.75" customHeight="1" x14ac:dyDescent="0.25"/>
    <row r="859" s="37" customFormat="1" ht="15.75" customHeight="1" x14ac:dyDescent="0.25"/>
    <row r="860" s="37" customFormat="1" ht="15.75" customHeight="1" x14ac:dyDescent="0.25"/>
    <row r="861" s="37" customFormat="1" ht="15.75" customHeight="1" x14ac:dyDescent="0.25"/>
    <row r="862" s="37" customFormat="1" ht="15.75" customHeight="1" x14ac:dyDescent="0.25"/>
    <row r="863" s="37" customFormat="1" ht="15.75" customHeight="1" x14ac:dyDescent="0.25"/>
    <row r="864" s="37" customFormat="1" ht="15.75" customHeight="1" x14ac:dyDescent="0.25"/>
    <row r="865" s="37" customFormat="1" ht="15.75" customHeight="1" x14ac:dyDescent="0.25"/>
    <row r="866" s="37" customFormat="1" ht="15.75" customHeight="1" x14ac:dyDescent="0.25"/>
    <row r="867" s="37" customFormat="1" ht="15.75" customHeight="1" x14ac:dyDescent="0.25"/>
    <row r="868" s="37" customFormat="1" ht="15.75" customHeight="1" x14ac:dyDescent="0.25"/>
    <row r="869" s="37" customFormat="1" ht="15.75" customHeight="1" x14ac:dyDescent="0.25"/>
    <row r="870" s="37" customFormat="1" ht="15.75" customHeight="1" x14ac:dyDescent="0.25"/>
    <row r="871" s="37" customFormat="1" ht="15.75" customHeight="1" x14ac:dyDescent="0.25"/>
    <row r="872" s="37" customFormat="1" ht="15.75" customHeight="1" x14ac:dyDescent="0.25"/>
    <row r="873" s="37" customFormat="1" ht="15.75" customHeight="1" x14ac:dyDescent="0.25"/>
    <row r="874" s="37" customFormat="1" ht="15.75" customHeight="1" x14ac:dyDescent="0.25"/>
    <row r="875" s="37" customFormat="1" ht="15.75" customHeight="1" x14ac:dyDescent="0.25"/>
    <row r="876" s="37" customFormat="1" ht="15.75" customHeight="1" x14ac:dyDescent="0.25"/>
    <row r="877" s="37" customFormat="1" ht="15.75" customHeight="1" x14ac:dyDescent="0.25"/>
    <row r="878" s="37" customFormat="1" ht="15.75" customHeight="1" x14ac:dyDescent="0.25"/>
    <row r="879" s="37" customFormat="1" ht="15.75" customHeight="1" x14ac:dyDescent="0.25"/>
    <row r="880" s="37" customFormat="1" ht="15.75" customHeight="1" x14ac:dyDescent="0.25"/>
    <row r="881" s="37" customFormat="1" ht="15.75" customHeight="1" x14ac:dyDescent="0.25"/>
    <row r="882" s="37" customFormat="1" ht="15.75" customHeight="1" x14ac:dyDescent="0.25"/>
    <row r="883" s="37" customFormat="1" ht="15.75" customHeight="1" x14ac:dyDescent="0.25"/>
    <row r="884" s="37" customFormat="1" ht="15.75" customHeight="1" x14ac:dyDescent="0.25"/>
    <row r="885" s="37" customFormat="1" ht="15.75" customHeight="1" x14ac:dyDescent="0.25"/>
    <row r="886" s="37" customFormat="1" ht="15.75" customHeight="1" x14ac:dyDescent="0.25"/>
    <row r="887" s="37" customFormat="1" ht="15.75" customHeight="1" x14ac:dyDescent="0.25"/>
    <row r="888" s="37" customFormat="1" ht="15.75" customHeight="1" x14ac:dyDescent="0.25"/>
    <row r="889" s="37" customFormat="1" ht="15.75" customHeight="1" x14ac:dyDescent="0.25"/>
    <row r="890" s="37" customFormat="1" ht="15.75" customHeight="1" x14ac:dyDescent="0.25"/>
    <row r="891" s="37" customFormat="1" ht="15.75" customHeight="1" x14ac:dyDescent="0.25"/>
    <row r="892" s="37" customFormat="1" ht="15.75" customHeight="1" x14ac:dyDescent="0.25"/>
    <row r="893" s="37" customFormat="1" ht="15.75" customHeight="1" x14ac:dyDescent="0.25"/>
    <row r="894" s="37" customFormat="1" ht="15.75" customHeight="1" x14ac:dyDescent="0.25"/>
    <row r="895" s="37" customFormat="1" ht="15.75" customHeight="1" x14ac:dyDescent="0.25"/>
    <row r="896" s="37" customFormat="1" ht="15.75" customHeight="1" x14ac:dyDescent="0.25"/>
    <row r="897" s="37" customFormat="1" ht="15.75" customHeight="1" x14ac:dyDescent="0.25"/>
    <row r="898" s="37" customFormat="1" ht="15.75" customHeight="1" x14ac:dyDescent="0.25"/>
    <row r="899" s="37" customFormat="1" ht="15.75" customHeight="1" x14ac:dyDescent="0.25"/>
    <row r="900" s="37" customFormat="1" ht="15.75" customHeight="1" x14ac:dyDescent="0.25"/>
    <row r="901" s="37" customFormat="1" ht="15.75" customHeight="1" x14ac:dyDescent="0.25"/>
    <row r="902" s="37" customFormat="1" ht="15.75" customHeight="1" x14ac:dyDescent="0.25"/>
    <row r="903" s="37" customFormat="1" ht="15.75" customHeight="1" x14ac:dyDescent="0.25"/>
    <row r="904" s="37" customFormat="1" ht="15.75" customHeight="1" x14ac:dyDescent="0.25"/>
    <row r="905" s="37" customFormat="1" ht="15.75" customHeight="1" x14ac:dyDescent="0.25"/>
    <row r="906" s="37" customFormat="1" ht="15.75" customHeight="1" x14ac:dyDescent="0.25"/>
    <row r="907" s="37" customFormat="1" ht="15.75" customHeight="1" x14ac:dyDescent="0.25"/>
    <row r="908" s="37" customFormat="1" ht="15.75" customHeight="1" x14ac:dyDescent="0.25"/>
    <row r="909" s="37" customFormat="1" ht="15.75" customHeight="1" x14ac:dyDescent="0.25"/>
    <row r="910" s="37" customFormat="1" ht="15.75" customHeight="1" x14ac:dyDescent="0.25"/>
    <row r="911" s="37" customFormat="1" ht="15.75" customHeight="1" x14ac:dyDescent="0.25"/>
    <row r="912" s="37" customFormat="1" ht="15.75" customHeight="1" x14ac:dyDescent="0.25"/>
    <row r="913" s="37" customFormat="1" ht="15.75" customHeight="1" x14ac:dyDescent="0.25"/>
    <row r="914" s="37" customFormat="1" ht="15.75" customHeight="1" x14ac:dyDescent="0.25"/>
    <row r="915" s="37" customFormat="1" ht="15.75" customHeight="1" x14ac:dyDescent="0.25"/>
    <row r="916" s="37" customFormat="1" ht="15.75" customHeight="1" x14ac:dyDescent="0.25"/>
    <row r="917" s="37" customFormat="1" ht="15.75" customHeight="1" x14ac:dyDescent="0.25"/>
    <row r="918" s="37" customFormat="1" ht="15.75" customHeight="1" x14ac:dyDescent="0.25"/>
    <row r="919" s="37" customFormat="1" ht="15.75" customHeight="1" x14ac:dyDescent="0.25"/>
    <row r="920" s="37" customFormat="1" ht="15.75" customHeight="1" x14ac:dyDescent="0.25"/>
    <row r="921" s="37" customFormat="1" ht="15.75" customHeight="1" x14ac:dyDescent="0.25"/>
    <row r="922" s="37" customFormat="1" ht="15.75" customHeight="1" x14ac:dyDescent="0.25"/>
    <row r="923" s="37" customFormat="1" ht="15.75" customHeight="1" x14ac:dyDescent="0.25"/>
    <row r="924" s="37" customFormat="1" ht="15.75" customHeight="1" x14ac:dyDescent="0.25"/>
    <row r="925" s="37" customFormat="1" ht="15.75" customHeight="1" x14ac:dyDescent="0.25"/>
    <row r="926" s="37" customFormat="1" ht="15.75" customHeight="1" x14ac:dyDescent="0.25"/>
    <row r="927" s="37" customFormat="1" ht="15.75" customHeight="1" x14ac:dyDescent="0.25"/>
    <row r="928" s="37" customFormat="1" ht="15.75" customHeight="1" x14ac:dyDescent="0.25"/>
    <row r="929" s="37" customFormat="1" ht="15.75" customHeight="1" x14ac:dyDescent="0.25"/>
    <row r="930" s="37" customFormat="1" ht="15.75" customHeight="1" x14ac:dyDescent="0.25"/>
    <row r="931" s="37" customFormat="1" ht="15.75" customHeight="1" x14ac:dyDescent="0.25"/>
    <row r="932" s="37" customFormat="1" ht="15.75" customHeight="1" x14ac:dyDescent="0.25"/>
    <row r="933" s="37" customFormat="1" ht="15.75" customHeight="1" x14ac:dyDescent="0.25"/>
    <row r="934" s="37" customFormat="1" ht="15.75" customHeight="1" x14ac:dyDescent="0.25"/>
    <row r="935" s="37" customFormat="1" ht="15.75" customHeight="1" x14ac:dyDescent="0.25"/>
    <row r="936" s="37" customFormat="1" ht="15.75" customHeight="1" x14ac:dyDescent="0.25"/>
    <row r="937" s="37" customFormat="1" ht="15.75" customHeight="1" x14ac:dyDescent="0.25"/>
    <row r="938" s="37" customFormat="1" ht="15.75" customHeight="1" x14ac:dyDescent="0.25"/>
    <row r="939" s="37" customFormat="1" ht="15.75" customHeight="1" x14ac:dyDescent="0.25"/>
    <row r="940" s="37" customFormat="1" ht="15.75" customHeight="1" x14ac:dyDescent="0.25"/>
    <row r="941" s="37" customFormat="1" ht="15.75" customHeight="1" x14ac:dyDescent="0.25"/>
    <row r="942" s="37" customFormat="1" ht="15.75" customHeight="1" x14ac:dyDescent="0.25"/>
    <row r="943" s="37" customFormat="1" ht="15.75" customHeight="1" x14ac:dyDescent="0.25"/>
    <row r="944" s="37" customFormat="1" ht="15.75" customHeight="1" x14ac:dyDescent="0.25"/>
    <row r="945" s="37" customFormat="1" ht="15.75" customHeight="1" x14ac:dyDescent="0.25"/>
    <row r="946" s="37" customFormat="1" ht="15.75" customHeight="1" x14ac:dyDescent="0.25"/>
    <row r="947" s="37" customFormat="1" ht="15.75" customHeight="1" x14ac:dyDescent="0.25"/>
    <row r="948" s="37" customFormat="1" ht="15.75" customHeight="1" x14ac:dyDescent="0.25"/>
    <row r="949" s="37" customFormat="1" ht="15.75" customHeight="1" x14ac:dyDescent="0.25"/>
    <row r="950" s="37" customFormat="1" ht="15.75" customHeight="1" x14ac:dyDescent="0.25"/>
    <row r="951" s="37" customFormat="1" ht="15.75" customHeight="1" x14ac:dyDescent="0.25"/>
    <row r="952" s="37" customFormat="1" ht="15.75" customHeight="1" x14ac:dyDescent="0.25"/>
    <row r="953" s="37" customFormat="1" ht="15.75" customHeight="1" x14ac:dyDescent="0.25"/>
    <row r="954" s="37" customFormat="1" ht="15.75" customHeight="1" x14ac:dyDescent="0.25"/>
    <row r="955" s="37" customFormat="1" ht="15.75" customHeight="1" x14ac:dyDescent="0.25"/>
    <row r="956" s="37" customFormat="1" ht="15.75" customHeight="1" x14ac:dyDescent="0.25"/>
    <row r="957" s="37" customFormat="1" ht="15.75" customHeight="1" x14ac:dyDescent="0.25"/>
    <row r="958" s="37" customFormat="1" ht="15.75" customHeight="1" x14ac:dyDescent="0.25"/>
    <row r="959" s="37" customFormat="1" ht="15.75" customHeight="1" x14ac:dyDescent="0.25"/>
    <row r="960" s="37" customFormat="1" ht="15.75" customHeight="1" x14ac:dyDescent="0.25"/>
    <row r="961" s="37" customFormat="1" ht="15.75" customHeight="1" x14ac:dyDescent="0.25"/>
    <row r="962" s="37" customFormat="1" ht="15.75" customHeight="1" x14ac:dyDescent="0.25"/>
    <row r="963" s="37" customFormat="1" ht="15.75" customHeight="1" x14ac:dyDescent="0.25"/>
    <row r="964" s="37" customFormat="1" ht="15.75" customHeight="1" x14ac:dyDescent="0.25"/>
    <row r="965" s="37" customFormat="1" ht="15.75" customHeight="1" x14ac:dyDescent="0.25"/>
    <row r="966" s="37" customFormat="1" ht="15.75" customHeight="1" x14ac:dyDescent="0.25"/>
    <row r="967" s="37" customFormat="1" ht="15.75" customHeight="1" x14ac:dyDescent="0.25"/>
    <row r="968" s="37" customFormat="1" ht="15.75" customHeight="1" x14ac:dyDescent="0.25"/>
    <row r="969" s="37" customFormat="1" ht="15.75" customHeight="1" x14ac:dyDescent="0.25"/>
    <row r="970" s="37" customFormat="1" ht="15.75" customHeight="1" x14ac:dyDescent="0.25"/>
    <row r="971" s="37" customFormat="1" ht="15.75" customHeight="1" x14ac:dyDescent="0.25"/>
    <row r="972" s="37" customFormat="1" ht="15.75" customHeight="1" x14ac:dyDescent="0.25"/>
    <row r="973" s="37" customFormat="1" ht="15.75" customHeight="1" x14ac:dyDescent="0.25"/>
    <row r="974" s="37" customFormat="1" ht="15.75" customHeight="1" x14ac:dyDescent="0.25"/>
    <row r="975" s="37" customFormat="1" ht="15.75" customHeight="1" x14ac:dyDescent="0.25"/>
    <row r="976" s="37" customFormat="1" ht="15.75" customHeight="1" x14ac:dyDescent="0.25"/>
    <row r="977" s="37" customFormat="1" ht="15.75" customHeight="1" x14ac:dyDescent="0.25"/>
    <row r="978" s="37" customFormat="1" ht="15.75" customHeight="1" x14ac:dyDescent="0.25"/>
    <row r="979" s="37" customFormat="1" ht="15.75" customHeight="1" x14ac:dyDescent="0.25"/>
    <row r="980" s="37" customFormat="1" ht="15.75" customHeight="1" x14ac:dyDescent="0.25"/>
    <row r="981" s="37" customFormat="1" ht="15.75" customHeight="1" x14ac:dyDescent="0.25"/>
    <row r="982" s="37" customFormat="1" ht="15.75" customHeight="1" x14ac:dyDescent="0.25"/>
    <row r="983" s="37" customFormat="1" ht="15.75" customHeight="1" x14ac:dyDescent="0.25"/>
    <row r="984" s="37" customFormat="1" ht="15.75" customHeight="1" x14ac:dyDescent="0.25"/>
    <row r="985" s="37" customFormat="1" ht="15.75" customHeight="1" x14ac:dyDescent="0.25"/>
    <row r="986" s="37" customFormat="1" ht="15.75" customHeight="1" x14ac:dyDescent="0.25"/>
    <row r="987" s="37" customFormat="1" ht="15.75" customHeight="1" x14ac:dyDescent="0.25"/>
    <row r="988" s="37" customFormat="1" ht="15.75" customHeight="1" x14ac:dyDescent="0.25"/>
    <row r="989" s="37" customFormat="1" ht="15.75" customHeight="1" x14ac:dyDescent="0.25"/>
    <row r="990" s="37" customFormat="1" ht="15.75" customHeight="1" x14ac:dyDescent="0.25"/>
    <row r="991" s="37" customFormat="1" ht="15.75" customHeight="1" x14ac:dyDescent="0.25"/>
    <row r="992" s="37" customFormat="1" ht="15.75" customHeight="1" x14ac:dyDescent="0.25"/>
    <row r="993" s="37" customFormat="1" ht="15.75" customHeight="1" x14ac:dyDescent="0.25"/>
    <row r="994" s="37" customFormat="1" ht="15.75" customHeight="1" x14ac:dyDescent="0.25"/>
    <row r="995" s="37" customFormat="1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  <vt:lpstr>prot_20_09_26</vt:lpstr>
      <vt:lpstr>prot_11_10_26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2026-10-11T09:12:48Z</dcterms:modified>
</cp:coreProperties>
</file>