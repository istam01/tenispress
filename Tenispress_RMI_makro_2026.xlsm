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3488" documentId="13_ncr:1_{32891C05-B7EF-4D94-B7C7-CC022DF648DD}" xr6:coauthVersionLast="47" xr6:coauthVersionMax="47" xr10:uidLastSave="{0C8AADF9-0D9F-4693-97CF-E96D5BFB3CBF}"/>
  <bookViews>
    <workbookView xWindow="-120" yWindow="-120" windowWidth="20730" windowHeight="11160" firstSheet="14" activeTab="18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  <sheet name="prot_03_05_26" sheetId="79" r:id="rId17"/>
    <sheet name="prot_06_05_26" sheetId="80" r:id="rId18"/>
    <sheet name="prot_10_05_26" sheetId="81" r:id="rId1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4" i="81" l="1"/>
  <c r="N83" i="81"/>
  <c r="N82" i="81"/>
  <c r="N81" i="81"/>
  <c r="N77" i="81"/>
  <c r="N76" i="81"/>
  <c r="N75" i="81"/>
  <c r="N74" i="81"/>
  <c r="N70" i="81"/>
  <c r="N69" i="81"/>
  <c r="N68" i="81"/>
  <c r="N67" i="81"/>
  <c r="N63" i="81"/>
  <c r="N62" i="81"/>
  <c r="N61" i="81"/>
  <c r="N60" i="81"/>
  <c r="N56" i="81"/>
  <c r="N55" i="81"/>
  <c r="N54" i="81"/>
  <c r="N53" i="81"/>
  <c r="N49" i="81"/>
  <c r="N48" i="81"/>
  <c r="N47" i="81"/>
  <c r="N46" i="81"/>
  <c r="N42" i="81"/>
  <c r="N41" i="81"/>
  <c r="N40" i="81"/>
  <c r="N39" i="81"/>
  <c r="N35" i="81"/>
  <c r="N34" i="81"/>
  <c r="N33" i="81"/>
  <c r="N32" i="81"/>
  <c r="N28" i="81"/>
  <c r="N27" i="81"/>
  <c r="N26" i="81"/>
  <c r="N25" i="81"/>
  <c r="N21" i="81"/>
  <c r="N20" i="81"/>
  <c r="N19" i="81"/>
  <c r="N18" i="81"/>
  <c r="N14" i="81"/>
  <c r="N13" i="81"/>
  <c r="N12" i="81"/>
  <c r="N11" i="81"/>
  <c r="N7" i="81"/>
  <c r="N6" i="81"/>
  <c r="N5" i="81"/>
  <c r="N4" i="81"/>
  <c r="N34" i="2"/>
  <c r="K34" i="2"/>
  <c r="K35" i="2" s="1"/>
  <c r="H34" i="2"/>
  <c r="H35" i="2" s="1"/>
  <c r="E34" i="2"/>
  <c r="E35" i="2" s="1"/>
  <c r="N35" i="2"/>
  <c r="L35" i="2"/>
  <c r="I35" i="2"/>
  <c r="F35" i="2"/>
  <c r="C35" i="2"/>
  <c r="N84" i="80"/>
  <c r="N83" i="80"/>
  <c r="N82" i="80"/>
  <c r="N81" i="80"/>
  <c r="N77" i="80"/>
  <c r="N76" i="80"/>
  <c r="N75" i="80"/>
  <c r="N74" i="80"/>
  <c r="N70" i="80"/>
  <c r="N69" i="80"/>
  <c r="N68" i="80"/>
  <c r="N67" i="80"/>
  <c r="N63" i="80"/>
  <c r="N62" i="80"/>
  <c r="N61" i="80"/>
  <c r="N60" i="80"/>
  <c r="N56" i="80"/>
  <c r="N55" i="80"/>
  <c r="N54" i="80"/>
  <c r="N53" i="80"/>
  <c r="N49" i="80"/>
  <c r="N48" i="80"/>
  <c r="N47" i="80"/>
  <c r="N46" i="80"/>
  <c r="N42" i="80"/>
  <c r="N41" i="80"/>
  <c r="N40" i="80"/>
  <c r="N39" i="80"/>
  <c r="N35" i="80"/>
  <c r="N34" i="80"/>
  <c r="N33" i="80"/>
  <c r="N32" i="80"/>
  <c r="N28" i="80"/>
  <c r="N27" i="80"/>
  <c r="N26" i="80"/>
  <c r="N25" i="80"/>
  <c r="N21" i="80"/>
  <c r="N20" i="80"/>
  <c r="N19" i="80"/>
  <c r="N18" i="80"/>
  <c r="N14" i="80"/>
  <c r="N13" i="80"/>
  <c r="N12" i="80"/>
  <c r="N11" i="80"/>
  <c r="N7" i="80"/>
  <c r="N6" i="80"/>
  <c r="N5" i="80"/>
  <c r="N4" i="80"/>
  <c r="N33" i="2"/>
  <c r="K33" i="2"/>
  <c r="H33" i="2"/>
  <c r="E33" i="2"/>
  <c r="N81" i="79"/>
  <c r="N82" i="79"/>
  <c r="N83" i="79"/>
  <c r="N84" i="79"/>
  <c r="N74" i="79"/>
  <c r="N75" i="79"/>
  <c r="N76" i="79"/>
  <c r="N77" i="79"/>
  <c r="N67" i="79"/>
  <c r="N68" i="79"/>
  <c r="N69" i="79"/>
  <c r="N70" i="79"/>
  <c r="N60" i="79"/>
  <c r="N61" i="79"/>
  <c r="N62" i="79"/>
  <c r="N63" i="79"/>
  <c r="N53" i="79"/>
  <c r="N54" i="79"/>
  <c r="N55" i="79"/>
  <c r="N56" i="79"/>
  <c r="N46" i="79"/>
  <c r="N47" i="79"/>
  <c r="N48" i="79"/>
  <c r="N49" i="79"/>
  <c r="N39" i="79"/>
  <c r="N40" i="79"/>
  <c r="N41" i="79"/>
  <c r="N42" i="79"/>
  <c r="N11" i="79"/>
  <c r="N12" i="79"/>
  <c r="N13" i="79"/>
  <c r="N14" i="79"/>
  <c r="N18" i="79"/>
  <c r="N19" i="79"/>
  <c r="N20" i="79"/>
  <c r="N21" i="79"/>
  <c r="N25" i="79"/>
  <c r="N26" i="79"/>
  <c r="N27" i="79"/>
  <c r="N28" i="79"/>
  <c r="N32" i="79"/>
  <c r="N33" i="79"/>
  <c r="N34" i="79"/>
  <c r="N35" i="79"/>
  <c r="N4" i="79"/>
  <c r="C86" i="79" s="1"/>
  <c r="N5" i="79"/>
  <c r="C87" i="79" s="1"/>
  <c r="N6" i="79"/>
  <c r="C88" i="79" s="1"/>
  <c r="N7" i="79"/>
  <c r="N32" i="2"/>
  <c r="K32" i="2"/>
  <c r="H32" i="2"/>
  <c r="E32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K23" i="2"/>
  <c r="H23" i="2"/>
  <c r="E23" i="2"/>
  <c r="C87" i="81" l="1"/>
  <c r="C88" i="81"/>
  <c r="C89" i="81"/>
  <c r="C86" i="81"/>
  <c r="C88" i="80"/>
  <c r="C87" i="80"/>
  <c r="C89" i="80"/>
  <c r="C86" i="80"/>
  <c r="C89" i="79"/>
  <c r="C89" i="78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50" i="17" a="1"/>
  <c r="C20" i="17" a="1"/>
  <c r="C25" i="17" a="1"/>
  <c r="C19" i="17" a="1"/>
  <c r="C53" i="17" a="1"/>
  <c r="C15" i="17" a="1"/>
  <c r="C14" i="17" a="1"/>
  <c r="C9" i="17" a="1"/>
  <c r="C52" i="17" a="1"/>
  <c r="C51" i="17" a="1"/>
  <c r="C48" i="17" a="1"/>
  <c r="C10" i="17" a="1"/>
  <c r="C49" i="17" a="1"/>
  <c r="C7" i="17" a="1"/>
  <c r="C24" i="17" a="1"/>
  <c r="C38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<sst xmlns="http://schemas.openxmlformats.org/spreadsheetml/2006/main" count="5753" uniqueCount="103">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</sst>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5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0" fontId="22" fillId="5" borderId="0" xfId="0" applyFont="1" applyFill="1" applyAlignment="1">
      <alignment wrapText="1"/>
    </xf>
    <xf numFmtId="0" fontId="22" fillId="5" borderId="9" xfId="0" applyFont="1" applyFill="1" applyBorder="1"/>
    <xf numFmtId="0" fontId="23" fillId="0" borderId="7" xfId="0" applyFont="1" applyBorder="1"/>
    <xf numFmtId="49" fontId="16" fillId="7" borderId="0" xfId="0" applyNumberFormat="1" applyFont="1" applyFill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86"/>
  <sheetViews>
    <sheetView topLeftCell="A21" zoomScaleNormal="100" workbookViewId="0">
      <selection activeCell="N33" sqref="N33:N34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34" si="0">VLOOKUP(D23,$D$6:$E$16,2,FALSE)+C23</f>
        <v>8</v>
      </c>
      <c r="F23" s="14">
        <v>10</v>
      </c>
      <c r="G23" s="18" t="s">
        <v>89</v>
      </c>
      <c r="H23" s="23">
        <f t="shared" ref="H23:H34" si="1">VLOOKUP(G23,$D$6:$E$16,2,FALSE)+F23</f>
        <v>16</v>
      </c>
      <c r="I23" s="15">
        <v>10</v>
      </c>
      <c r="J23" s="20" t="s">
        <v>89</v>
      </c>
      <c r="K23" s="24">
        <f t="shared" ref="K23:K34" si="2">VLOOKUP(J23,$D$6:$E$16,2,FALSE)+I23</f>
        <v>16</v>
      </c>
      <c r="L23" s="56">
        <v>8</v>
      </c>
      <c r="M23" s="62">
        <v>3</v>
      </c>
      <c r="N23" s="58">
        <f t="shared" ref="N23:N34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4" customHeight="1" x14ac:dyDescent="0.25">
      <c r="B33" s="113">
        <v>46145</v>
      </c>
      <c r="C33" s="13">
        <v>11</v>
      </c>
      <c r="D33" s="16">
        <v>2</v>
      </c>
      <c r="E33" s="22">
        <f t="shared" si="0"/>
        <v>16</v>
      </c>
      <c r="F33" s="14">
        <v>0</v>
      </c>
      <c r="G33" s="18" t="s">
        <v>66</v>
      </c>
      <c r="H33" s="23">
        <f t="shared" si="1"/>
        <v>0</v>
      </c>
      <c r="I33" s="15">
        <v>6</v>
      </c>
      <c r="J33" s="20">
        <v>3</v>
      </c>
      <c r="K33" s="24">
        <f t="shared" si="2"/>
        <v>9</v>
      </c>
      <c r="L33" s="56">
        <v>16</v>
      </c>
      <c r="M33" s="62">
        <v>1</v>
      </c>
      <c r="N33" s="58">
        <f t="shared" si="3"/>
        <v>23</v>
      </c>
    </row>
    <row r="34" spans="2:14" ht="24" customHeight="1" x14ac:dyDescent="0.25">
      <c r="B34" s="113">
        <v>46148</v>
      </c>
      <c r="C34" s="13">
        <v>4</v>
      </c>
      <c r="D34" s="16">
        <v>4</v>
      </c>
      <c r="E34" s="22">
        <f t="shared" si="0"/>
        <v>5</v>
      </c>
      <c r="F34" s="14">
        <v>9</v>
      </c>
      <c r="G34" s="18">
        <v>2</v>
      </c>
      <c r="H34" s="23">
        <f t="shared" si="1"/>
        <v>14</v>
      </c>
      <c r="I34" s="15">
        <v>5</v>
      </c>
      <c r="J34" s="20">
        <v>3</v>
      </c>
      <c r="K34" s="24">
        <f t="shared" si="2"/>
        <v>8</v>
      </c>
      <c r="L34" s="56">
        <v>12</v>
      </c>
      <c r="M34" s="62">
        <v>1</v>
      </c>
      <c r="N34" s="58">
        <f t="shared" si="3"/>
        <v>19</v>
      </c>
    </row>
    <row r="35" spans="2:14" ht="27.75" customHeight="1" x14ac:dyDescent="0.5">
      <c r="B35" s="25" t="s">
        <v>15</v>
      </c>
      <c r="C35" s="97">
        <f>SUM(C22:C34)</f>
        <v>112</v>
      </c>
      <c r="E35" s="101">
        <f>SUM(E22:E34)</f>
        <v>162</v>
      </c>
      <c r="F35" s="97">
        <f>SUM(F22:F34)</f>
        <v>112</v>
      </c>
      <c r="G35" s="96"/>
      <c r="H35" s="107">
        <f>SUM(H22:H34)</f>
        <v>166</v>
      </c>
      <c r="I35" s="97">
        <f>SUM(I22:I34)</f>
        <v>68</v>
      </c>
      <c r="J35" s="25"/>
      <c r="K35" s="108">
        <f>SUM(K22:K34)</f>
        <v>98</v>
      </c>
      <c r="L35" s="97">
        <f>SUM(L22:L34)</f>
        <v>110</v>
      </c>
      <c r="N35" s="112">
        <f>SUM(N22:N34)</f>
        <v>165</v>
      </c>
    </row>
    <row r="36" spans="2:14" ht="14.25" customHeight="1" x14ac:dyDescent="0.25">
      <c r="K36" s="1"/>
    </row>
    <row r="37" spans="2:14" ht="14.25" customHeight="1" x14ac:dyDescent="0.25"/>
    <row r="38" spans="2:14" ht="14.25" customHeight="1" x14ac:dyDescent="0.25"/>
    <row r="39" spans="2:14" ht="14.25" customHeight="1" x14ac:dyDescent="0.25"/>
    <row r="40" spans="2:14" ht="14.25" customHeight="1" x14ac:dyDescent="0.25"/>
    <row r="41" spans="2:14" ht="12.6" customHeight="1" x14ac:dyDescent="0.25"/>
    <row r="42" spans="2:14" ht="12.6" customHeight="1" x14ac:dyDescent="0.25"/>
    <row r="43" spans="2:14" ht="12.6" customHeight="1" x14ac:dyDescent="0.25"/>
    <row r="44" spans="2:14" ht="12.6" customHeight="1" x14ac:dyDescent="0.25"/>
    <row r="45" spans="2:14" ht="12.6" customHeight="1" x14ac:dyDescent="0.25"/>
    <row r="46" spans="2:14" ht="12.6" customHeight="1" x14ac:dyDescent="0.25"/>
    <row r="47" spans="2:14" ht="12.6" customHeight="1" x14ac:dyDescent="0.25"/>
    <row r="48" spans="2:14" ht="12.6" customHeight="1" x14ac:dyDescent="0.25"/>
    <row r="49" ht="12.6" customHeight="1" x14ac:dyDescent="0.25"/>
    <row r="50" ht="12.6" customHeight="1" x14ac:dyDescent="0.25"/>
    <row r="51" ht="12.6" customHeight="1" x14ac:dyDescent="0.25"/>
    <row r="52" ht="12.6" customHeight="1" x14ac:dyDescent="0.25"/>
    <row r="53" ht="12.6" customHeight="1" x14ac:dyDescent="0.25"/>
    <row r="54" ht="12.6" customHeight="1" x14ac:dyDescent="0.25"/>
    <row r="55" ht="12.6" customHeight="1" x14ac:dyDescent="0.25"/>
    <row r="56" ht="12.6" customHeight="1" x14ac:dyDescent="0.25"/>
    <row r="57" ht="12.6" customHeight="1" x14ac:dyDescent="0.25"/>
    <row r="58" ht="12.6" customHeight="1" x14ac:dyDescent="0.25"/>
    <row r="59" ht="12.6" customHeight="1" x14ac:dyDescent="0.25"/>
    <row r="60" ht="12.6" customHeight="1" x14ac:dyDescent="0.25"/>
    <row r="61" ht="12.6" customHeight="1" x14ac:dyDescent="0.25"/>
    <row r="62" ht="12.6" customHeight="1" x14ac:dyDescent="0.25"/>
    <row r="63" ht="12.6" customHeight="1" x14ac:dyDescent="0.25"/>
    <row r="64" ht="12.6" customHeight="1" x14ac:dyDescent="0.25"/>
    <row r="65" spans="15:16" ht="12.6" customHeight="1" x14ac:dyDescent="0.25"/>
    <row r="66" spans="15:16" ht="12.6" customHeight="1" x14ac:dyDescent="0.25"/>
    <row r="67" spans="15:16" ht="12.6" customHeight="1" x14ac:dyDescent="0.25"/>
    <row r="68" spans="15:16" ht="12.6" customHeight="1" x14ac:dyDescent="0.25"/>
    <row r="69" spans="15:16" ht="12.6" customHeight="1" x14ac:dyDescent="0.25"/>
    <row r="70" spans="15:16" ht="12.6" customHeight="1" x14ac:dyDescent="0.25"/>
    <row r="71" spans="15:16" ht="12.6" customHeight="1" x14ac:dyDescent="0.25"/>
    <row r="72" spans="15:16" ht="12.6" customHeight="1" x14ac:dyDescent="0.25"/>
    <row r="73" spans="15:16" ht="12.6" customHeight="1" x14ac:dyDescent="0.25"/>
    <row r="74" spans="15:16" ht="12.6" customHeight="1" x14ac:dyDescent="0.25"/>
    <row r="75" spans="15:16" ht="12.6" customHeight="1" x14ac:dyDescent="0.25"/>
    <row r="76" spans="15:16" ht="44.25" customHeight="1" x14ac:dyDescent="0.25">
      <c r="P76" s="102" t="s">
        <v>82</v>
      </c>
    </row>
    <row r="77" spans="15:16" ht="14.25" customHeight="1" x14ac:dyDescent="0.25">
      <c r="O77" s="2"/>
    </row>
    <row r="78" spans="15:16" ht="14.25" customHeight="1" x14ac:dyDescent="0.25"/>
    <row r="79" spans="15:16" ht="14.25" customHeight="1" x14ac:dyDescent="0.25"/>
    <row r="80" spans="15:16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  <row r="1085" ht="14.25" customHeight="1" x14ac:dyDescent="0.25"/>
    <row r="1086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zoomScale="80" zoomScaleNormal="80" workbookViewId="0">
      <selection activeCell="C48" sqref="C4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20</v>
      </c>
    </row>
    <row r="8" spans="2:3" x14ac:dyDescent="0.25">
      <c r="B8" t="s">
        <v>46</v>
      </c>
      <c r="C8" cm="1">
        <f t="array" ref="C8">CountValueWithColumnACondition("w(0)", "Marcin")</f>
        <v>13</v>
      </c>
    </row>
    <row r="9" spans="2:3" x14ac:dyDescent="0.25">
      <c r="B9" t="s">
        <v>47</v>
      </c>
      <c r="C9" cm="1">
        <f t="array" ref="C9">CountValueWithColumnACondition("w(0)", "Rysiek")</f>
        <v>22</v>
      </c>
    </row>
    <row r="10" spans="2:3" x14ac:dyDescent="0.25">
      <c r="B10" t="s">
        <v>75</v>
      </c>
      <c r="C10" cm="1">
        <f t="array" ref="C10">CountValueWithColumnACondition("w(0)", "Piotr")</f>
        <v>18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29</v>
      </c>
    </row>
    <row r="13" spans="2:3" x14ac:dyDescent="0.25">
      <c r="B13" s="50" t="s">
        <v>41</v>
      </c>
      <c r="C13" cm="1">
        <f t="array" ref="C13">CountValueWithColumnACondition("w(15)", "Marcin")</f>
        <v>16</v>
      </c>
    </row>
    <row r="14" spans="2:3" x14ac:dyDescent="0.25">
      <c r="B14" s="50" t="s">
        <v>42</v>
      </c>
      <c r="C14" cm="1">
        <f t="array" ref="C14">CountValueWithColumnACondition("w(15)", "Rysiek")</f>
        <v>28</v>
      </c>
    </row>
    <row r="15" spans="2:3" x14ac:dyDescent="0.25">
      <c r="B15" s="89" t="s">
        <v>76</v>
      </c>
      <c r="C15" cm="1">
        <f t="array" ref="C15">CountValueWithColumnACondition("w(15)", "Piotr")</f>
        <v>31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28</v>
      </c>
    </row>
    <row r="18" spans="1:14" x14ac:dyDescent="0.25">
      <c r="B18" s="50" t="s">
        <v>38</v>
      </c>
      <c r="C18" cm="1">
        <f t="array" ref="C18">CountValueWithColumnACondition("w(30)", "Marcin")</f>
        <v>15</v>
      </c>
    </row>
    <row r="19" spans="1:14" x14ac:dyDescent="0.25">
      <c r="B19" s="50" t="s">
        <v>39</v>
      </c>
      <c r="C19" s="34" cm="1">
        <f t="array" ref="C19">CountValueWithColumnACondition("w(30)", "Rysiek")</f>
        <v>34</v>
      </c>
    </row>
    <row r="20" spans="1:14" x14ac:dyDescent="0.25">
      <c r="B20" s="89" t="s">
        <v>77</v>
      </c>
      <c r="C20" s="34" cm="1">
        <f t="array" ref="C20">CountValueWithColumnACondition("w(30)", "Piotr")</f>
        <v>48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39</v>
      </c>
    </row>
    <row r="23" spans="1:14" x14ac:dyDescent="0.25">
      <c r="B23" s="50" t="s">
        <v>43</v>
      </c>
      <c r="C23" cm="1">
        <f t="array" ref="C23">CountValueWithColumnACondition("w(z)", "Marcin")</f>
        <v>29</v>
      </c>
    </row>
    <row r="24" spans="1:14" x14ac:dyDescent="0.25">
      <c r="B24" s="50" t="s">
        <v>44</v>
      </c>
      <c r="C24" cm="1">
        <f t="array" ref="C24">CountValueWithColumnACondition("w(z)", "Rysiek")</f>
        <v>35</v>
      </c>
    </row>
    <row r="25" spans="1:14" x14ac:dyDescent="0.25">
      <c r="B25" s="89" t="s">
        <v>78</v>
      </c>
      <c r="C25" cm="1">
        <f t="array" ref="C25">CountValueWithColumnACondition("w(z)", "Piotr")</f>
        <v>25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116</v>
      </c>
      <c r="F27" s="87"/>
    </row>
    <row r="28" spans="1:14" x14ac:dyDescent="0.25">
      <c r="A28" s="87"/>
      <c r="B28" s="53" t="s">
        <v>8</v>
      </c>
      <c r="C28">
        <f>SUM(C8,C13,C18,C23)</f>
        <v>73</v>
      </c>
      <c r="N28" s="111" t="s">
        <v>82</v>
      </c>
    </row>
    <row r="29" spans="1:14" x14ac:dyDescent="0.25">
      <c r="B29" s="53" t="s">
        <v>6</v>
      </c>
      <c r="C29">
        <f>SUM(C9,C14,C19,C24)</f>
        <v>119</v>
      </c>
    </row>
    <row r="30" spans="1:14" x14ac:dyDescent="0.25">
      <c r="B30" s="89" t="s">
        <v>67</v>
      </c>
      <c r="C30">
        <f>SUM(C10,C15,C20,C25)</f>
        <v>122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50</v>
      </c>
    </row>
    <row r="33" spans="2:3" x14ac:dyDescent="0.25">
      <c r="B33" s="51" t="s">
        <v>49</v>
      </c>
      <c r="C33" cm="1">
        <f t="array" ref="C33">CountWins("Marcin","Irek")</f>
        <v>40</v>
      </c>
    </row>
    <row r="34" spans="2:3" x14ac:dyDescent="0.25">
      <c r="B34" s="51" t="s">
        <v>52</v>
      </c>
      <c r="C34" cm="1">
        <f t="array" ref="C34">CountWins("Marcin","Rysiek")</f>
        <v>25</v>
      </c>
    </row>
    <row r="35" spans="2:3" x14ac:dyDescent="0.25">
      <c r="B35" s="51" t="s">
        <v>53</v>
      </c>
      <c r="C35" cm="1">
        <f t="array" ref="C35">CountWins("Rysiek","Marcin")</f>
        <v>54</v>
      </c>
    </row>
    <row r="36" spans="2:3" x14ac:dyDescent="0.25">
      <c r="B36" s="51" t="s">
        <v>50</v>
      </c>
      <c r="C36" cm="1">
        <f t="array" ref="C36">CountWins("Irek","Rysiek")</f>
        <v>40</v>
      </c>
    </row>
    <row r="37" spans="2:3" x14ac:dyDescent="0.25">
      <c r="B37" s="51" t="s">
        <v>51</v>
      </c>
      <c r="C37" cm="1">
        <f t="array" ref="C37">CountWins("Rysiek","Irek")</f>
        <v>48</v>
      </c>
    </row>
    <row r="38" spans="2:3" x14ac:dyDescent="0.25">
      <c r="B38" s="88" t="s">
        <v>69</v>
      </c>
      <c r="C38" cm="1">
        <f t="array" ref="C38">CountWins("Irek","Piotr")</f>
        <v>26</v>
      </c>
    </row>
    <row r="39" spans="2:3" x14ac:dyDescent="0.25">
      <c r="B39" s="88" t="s">
        <v>70</v>
      </c>
      <c r="C39" cm="1">
        <f t="array" ref="C39">CountWins("Piotr","Irek")</f>
        <v>40</v>
      </c>
    </row>
    <row r="40" spans="2:3" x14ac:dyDescent="0.25">
      <c r="B40" s="88" t="s">
        <v>71</v>
      </c>
      <c r="C40" cm="1">
        <f t="array" ref="C40">CountWins("MArcin","Piotr")</f>
        <v>8</v>
      </c>
    </row>
    <row r="41" spans="2:3" x14ac:dyDescent="0.25">
      <c r="B41" s="88" t="s">
        <v>72</v>
      </c>
      <c r="C41" cm="1">
        <f t="array" ref="C41">CountWins("Piotr","Marcin")</f>
        <v>46</v>
      </c>
    </row>
    <row r="42" spans="2:3" x14ac:dyDescent="0.25">
      <c r="B42" s="88" t="s">
        <v>73</v>
      </c>
      <c r="C42" cm="1">
        <f t="array" ref="C42">CountWins("Rysiek","Piotr")</f>
        <v>19</v>
      </c>
    </row>
    <row r="43" spans="2:3" x14ac:dyDescent="0.25">
      <c r="B43" s="88" t="s">
        <v>74</v>
      </c>
      <c r="C43" cm="1">
        <f t="array" ref="C43">CountWins("Piotr","Rysiek")</f>
        <v>36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58</v>
      </c>
    </row>
    <row r="47" spans="2:3" x14ac:dyDescent="0.25">
      <c r="B47" s="53" t="s">
        <v>55</v>
      </c>
      <c r="C47" cm="1">
        <f t="array" ref="C47">CountCellsStartingWithWwhereColumnSorO("Irek","o")</f>
        <v>58</v>
      </c>
    </row>
    <row r="48" spans="2:3" x14ac:dyDescent="0.25">
      <c r="B48" s="53" t="s">
        <v>56</v>
      </c>
      <c r="C48" cm="1">
        <f t="array" ref="C48">CountCellsStartingWithWwhereColumnSorO("Rysiek","s")</f>
        <v>60</v>
      </c>
    </row>
    <row r="49" spans="2:3" x14ac:dyDescent="0.25">
      <c r="B49" s="53" t="s">
        <v>57</v>
      </c>
      <c r="C49" cm="1">
        <f t="array" ref="C49">CountCellsStartingWithWwhereColumnSorO("Rysiek","o")</f>
        <v>61</v>
      </c>
    </row>
    <row r="50" spans="2:3" x14ac:dyDescent="0.25">
      <c r="B50" s="53" t="s">
        <v>58</v>
      </c>
      <c r="C50" cm="1">
        <f t="array" ref="C50">CountCellsStartingWithWwhereColumnSorO("Marcin","s")</f>
        <v>34</v>
      </c>
    </row>
    <row r="51" spans="2:3" x14ac:dyDescent="0.25">
      <c r="B51" s="53" t="s">
        <v>59</v>
      </c>
      <c r="C51" cm="1">
        <f t="array" ref="C51">CountCellsStartingWithWwhereColumnSorO("Marcin","o")</f>
        <v>39</v>
      </c>
    </row>
    <row r="52" spans="2:3" x14ac:dyDescent="0.25">
      <c r="B52" s="89" t="s">
        <v>79</v>
      </c>
      <c r="C52" cm="1">
        <f t="array" ref="C52">CountCellsStartingWithWwhereColumnSorO("Piotr","s")</f>
        <v>56</v>
      </c>
    </row>
    <row r="53" spans="2:3" x14ac:dyDescent="0.25">
      <c r="B53" s="89" t="s">
        <v>80</v>
      </c>
      <c r="C53" cm="1">
        <f t="array" ref="C53">CountCellsStartingWithWwhereColumnSorO("Piotr","o")</f>
        <v>66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9">
        <f>SUMIF($A$2:$A$65,"Irek",$H$2:$H$74)</f>
        <v>0</v>
      </c>
      <c r="D76" s="120"/>
      <c r="E76" s="120"/>
      <c r="F76" s="120"/>
      <c r="G76" s="120"/>
      <c r="H76" s="121"/>
    </row>
    <row r="77" spans="1:8" ht="15.75" customHeight="1" x14ac:dyDescent="0.35">
      <c r="A77" s="39" t="s">
        <v>34</v>
      </c>
      <c r="B77" s="35"/>
      <c r="C77" s="119">
        <f>SUMIF($A$2:$A$65,"Marcin",$H$2:$H$74)</f>
        <v>0</v>
      </c>
      <c r="D77" s="120"/>
      <c r="E77" s="120"/>
      <c r="F77" s="120"/>
      <c r="G77" s="120"/>
      <c r="H77" s="121"/>
    </row>
    <row r="78" spans="1:8" ht="15.75" customHeight="1" x14ac:dyDescent="0.35">
      <c r="A78" s="39" t="s">
        <v>35</v>
      </c>
      <c r="B78" s="35"/>
      <c r="C78" s="119">
        <f>SUMIF($A$2:$A$65,"Rysiek",$H$2:$H$74)</f>
        <v>0</v>
      </c>
      <c r="D78" s="120"/>
      <c r="E78" s="120"/>
      <c r="F78" s="120"/>
      <c r="G78" s="120"/>
      <c r="H78" s="121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22">
        <f>SUMIF($A$2:$A$50,"Irek",$N$2:$N$50)</f>
        <v>0</v>
      </c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4"/>
    </row>
    <row r="53" spans="1:32" ht="21" x14ac:dyDescent="0.35">
      <c r="A53" s="69" t="s">
        <v>34</v>
      </c>
      <c r="B53" s="63"/>
      <c r="C53" s="122">
        <f>SUMIF($A$2:$A$50,"Marcin",$N$2:$N$50)</f>
        <v>0</v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4"/>
    </row>
    <row r="54" spans="1:32" ht="21" x14ac:dyDescent="0.35">
      <c r="A54" s="69" t="s">
        <v>35</v>
      </c>
      <c r="B54" s="63"/>
      <c r="C54" s="122">
        <f>SUMIF($A$2:$A$50,"Rysiek",$N$2:$N$50)</f>
        <v>0</v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4"/>
    </row>
    <row r="55" spans="1:32" ht="21" x14ac:dyDescent="0.35">
      <c r="A55" s="69" t="s">
        <v>68</v>
      </c>
      <c r="B55" s="86"/>
      <c r="C55" s="122">
        <f>SUMIF($A$2:$A$50,"Piotr",$N$2:$N$50)</f>
        <v>0</v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4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str" cm="1">
        <f t="array" ref="B4:B22">ListSheetNames()</f>
        <v>Pula</v>
      </c>
    </row>
    <row r="5" spans="2:2" x14ac:dyDescent="0.25">
      <c r="B5" t="str">
        <v>Wyniki</v>
      </c>
    </row>
    <row r="6" spans="2:2" x14ac:dyDescent="0.25">
      <c r="B6" t="str">
        <v>Podsumowanie</v>
      </c>
    </row>
    <row r="7" spans="2:2" x14ac:dyDescent="0.25">
      <c r="B7" t="str">
        <v>prot_wzór</v>
      </c>
    </row>
    <row r="8" spans="2:2" x14ac:dyDescent="0.25">
      <c r="B8" t="str">
        <v>prot_wzór_4</v>
      </c>
    </row>
    <row r="9" spans="2:2" x14ac:dyDescent="0.25">
      <c r="B9" t="str">
        <v>Ilość rund</v>
      </c>
    </row>
    <row r="10" spans="2:2" x14ac:dyDescent="0.25">
      <c r="B10" t="str">
        <v>prot_04_01_26</v>
      </c>
    </row>
    <row r="11" spans="2:2" x14ac:dyDescent="0.25">
      <c r="B11" t="str">
        <v>prot_11_01_26</v>
      </c>
    </row>
    <row r="12" spans="2:2" x14ac:dyDescent="0.25">
      <c r="B12" t="str">
        <v>prot_25_01_26</v>
      </c>
    </row>
    <row r="13" spans="2:2" x14ac:dyDescent="0.25">
      <c r="B13" t="str">
        <v>prot_01_03_26</v>
      </c>
    </row>
    <row r="14" spans="2:2" x14ac:dyDescent="0.25">
      <c r="B14" t="str">
        <v>prot_08_03_26</v>
      </c>
    </row>
    <row r="15" spans="2:2" x14ac:dyDescent="0.25">
      <c r="B15" t="str">
        <v>prot_15_03_26</v>
      </c>
    </row>
    <row r="16" spans="2:2" x14ac:dyDescent="0.25">
      <c r="B16" t="str">
        <v>prot_29_03_26</v>
      </c>
    </row>
    <row r="17" spans="2:6" x14ac:dyDescent="0.25">
      <c r="B17" t="str">
        <v>prot_12_04_26</v>
      </c>
    </row>
    <row r="18" spans="2:6" x14ac:dyDescent="0.25">
      <c r="B18" t="str">
        <v>prot_26_04_26</v>
      </c>
    </row>
    <row r="19" spans="2:6" x14ac:dyDescent="0.25">
      <c r="B19" t="str">
        <v>prot_29_04_26</v>
      </c>
    </row>
    <row r="20" spans="2:6" x14ac:dyDescent="0.25">
      <c r="B20" t="str">
        <v>prot_03_05_26</v>
      </c>
    </row>
    <row r="21" spans="2:6" x14ac:dyDescent="0.25">
      <c r="B21" t="str">
        <v>prot_06_05_26</v>
      </c>
      <c r="F21" s="88"/>
    </row>
    <row r="22" spans="2:6" x14ac:dyDescent="0.25">
      <c r="B22" t="str">
        <v>prot_06_05_26 (2)</v>
      </c>
    </row>
    <row r="24" spans="2:6" x14ac:dyDescent="0.25"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8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11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C304-89B7-4D77-9523-B56FC5E487F7}">
  <sheetPr codeName="Sheet72"/>
  <dimension ref="A2:AF995"/>
  <sheetViews>
    <sheetView topLeftCell="A66" zoomScaleNormal="100" workbookViewId="0">
      <selection activeCell="A85" sqref="A85:N8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85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84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85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 t="s">
        <v>86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86</v>
      </c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 t="s">
        <v>84</v>
      </c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84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 t="s">
        <v>84</v>
      </c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84</v>
      </c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 t="s">
        <v>85</v>
      </c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 t="s">
        <v>86</v>
      </c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 t="s">
        <v>83</v>
      </c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85</v>
      </c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 t="s">
        <v>85</v>
      </c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B1F5B-4620-4FAB-A89F-C50B1A534D10}">
  <sheetPr codeName="Sheet73"/>
  <dimension ref="A2:AF995"/>
  <sheetViews>
    <sheetView zoomScaleNormal="100" workbookViewId="0">
      <selection activeCell="M36" sqref="M36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84</v>
      </c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85</v>
      </c>
      <c r="H12" s="66"/>
      <c r="I12" s="66"/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3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84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84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B977-4F38-46EA-82F2-B309D0BDCDE3}">
  <sheetPr codeName="Sheet74"/>
  <dimension ref="A2:AF995"/>
  <sheetViews>
    <sheetView tabSelected="1" topLeftCell="A67" zoomScaleNormal="100" workbookViewId="0">
      <selection activeCell="K77" sqref="K7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84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 t="s">
        <v>86</v>
      </c>
      <c r="H19" s="66"/>
      <c r="I19" s="66"/>
      <c r="J19" s="67"/>
      <c r="K19" s="67"/>
      <c r="L19" s="67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86</v>
      </c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86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86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84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86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85</v>
      </c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 t="s">
        <v>84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 t="s">
        <v>83</v>
      </c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66"/>
      <c r="I76" s="66"/>
      <c r="J76" s="67" t="s">
        <v>21</v>
      </c>
      <c r="K76" s="67" t="s">
        <v>85</v>
      </c>
      <c r="L76" s="67"/>
      <c r="M76" s="67"/>
      <c r="N76" s="81">
        <f>COUNTIF(B76:M76,"w*")</f>
        <v>2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  <vt:lpstr>prot_03_05_26</vt:lpstr>
      <vt:lpstr>prot_06_05_26</vt:lpstr>
      <vt:lpstr>prot_10_05_26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2026-05-10T09:07:24Z</dcterms:modified>
</cp:coreProperties>
</file>