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478" documentId="13_ncr:1_{01A063F3-997C-4D1C-9898-A98279BCB518}" xr6:coauthVersionLast="47" xr6:coauthVersionMax="47" xr10:uidLastSave="{4A76E753-7064-4F90-975F-50C521F265C7}"/>
  <bookViews>
    <workbookView xWindow="-120" yWindow="-120" windowWidth="20730" windowHeight="11160" firstSheet="27" activeTab="3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1_08_26" sheetId="96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4" i="96" l="1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K48" i="2" s="1"/>
  <c r="H47" i="2"/>
  <c r="E47" i="2"/>
  <c r="N48" i="2"/>
  <c r="L48" i="2"/>
  <c r="I48" i="2"/>
  <c r="H48" i="2"/>
  <c r="F48" i="2"/>
  <c r="E48" i="2"/>
  <c r="C48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96" l="1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7" i="17" a="1"/>
  <c r="C50" i="17" a="1"/>
  <c r="C15" i="17" a="1"/>
  <c r="C9" i="17" a="1"/>
  <c r="C51" i="17" a="1"/>
  <c r="C24" i="17" a="1"/>
  <c r="C48" i="17" a="1"/>
  <c r="C10" i="17" a="1"/>
  <c r="C52" i="17" a="1"/>
  <c r="C25" i="17" a="1"/>
  <c r="C38" i="17" a="1"/>
  <c r="C14" i="17" a="1"/>
  <c r="C20" i="17" a="1"/>
  <c r="C19" i="17" a="1"/>
  <c r="C53" i="17" a="1"/>
  <c r="C4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<sst xmlns="http://schemas.openxmlformats.org/spreadsheetml/2006/main" count="11102" uniqueCount="103">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</sst>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9"/>
  <sheetViews>
    <sheetView topLeftCell="B39" zoomScaleNormal="100" workbookViewId="0">
      <selection activeCell="N46" sqref="N46:N4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7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7.75" customHeight="1" x14ac:dyDescent="0.5">
      <c r="B48" s="25" t="s">
        <v>15</v>
      </c>
      <c r="C48" s="97">
        <f>SUM(C22:C47)</f>
        <v>245</v>
      </c>
      <c r="E48" s="101">
        <f>SUM(E22:E47)</f>
        <v>358</v>
      </c>
      <c r="F48" s="97">
        <f>SUM(F22:F47)</f>
        <v>242</v>
      </c>
      <c r="G48" s="96"/>
      <c r="H48" s="107">
        <f>SUM(H22:H47)</f>
        <v>363</v>
      </c>
      <c r="I48" s="97">
        <f>SUM(I22:I47)</f>
        <v>95</v>
      </c>
      <c r="J48" s="25"/>
      <c r="K48" s="108">
        <f>SUM(K22:K47)</f>
        <v>135</v>
      </c>
      <c r="L48" s="97">
        <f>SUM(L22:L47)</f>
        <v>242</v>
      </c>
      <c r="N48" s="112">
        <f>SUM(N22:N47)</f>
        <v>364</v>
      </c>
    </row>
    <row r="49" spans="11:11" ht="14.25" customHeight="1" x14ac:dyDescent="0.25">
      <c r="K49" s="1"/>
    </row>
    <row r="50" spans="11:11" ht="14.25" customHeight="1" x14ac:dyDescent="0.25"/>
    <row r="51" spans="11:11" ht="14.25" customHeight="1" x14ac:dyDescent="0.25"/>
    <row r="52" spans="11:11" ht="14.25" customHeight="1" x14ac:dyDescent="0.25"/>
    <row r="53" spans="11:11" ht="14.25" customHeight="1" x14ac:dyDescent="0.25"/>
    <row r="54" spans="11:11" ht="12.6" customHeight="1" x14ac:dyDescent="0.25"/>
    <row r="55" spans="11:11" ht="12.6" customHeight="1" x14ac:dyDescent="0.25"/>
    <row r="56" spans="11:11" ht="12.6" customHeight="1" x14ac:dyDescent="0.25"/>
    <row r="57" spans="11:11" ht="12.6" customHeight="1" x14ac:dyDescent="0.25"/>
    <row r="58" spans="11:11" ht="12.6" customHeight="1" x14ac:dyDescent="0.25"/>
    <row r="59" spans="11:11" ht="12.6" customHeight="1" x14ac:dyDescent="0.25"/>
    <row r="60" spans="11:11" ht="12.6" customHeight="1" x14ac:dyDescent="0.25"/>
    <row r="61" spans="11:11" ht="12.6" customHeight="1" x14ac:dyDescent="0.25"/>
    <row r="62" spans="11:11" ht="12.6" customHeight="1" x14ac:dyDescent="0.25"/>
    <row r="63" spans="11:11" ht="12.6" customHeight="1" x14ac:dyDescent="0.25"/>
    <row r="64" spans="11:11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44.25" customHeight="1" x14ac:dyDescent="0.25">
      <c r="P89" s="102" t="s">
        <v>82</v>
      </c>
    </row>
    <row r="90" spans="15:16" ht="14.25" customHeight="1" x14ac:dyDescent="0.25">
      <c r="O90" s="2"/>
    </row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39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32</v>
      </c>
    </row>
    <row r="10" spans="2:3" x14ac:dyDescent="0.25">
      <c r="B10" t="s">
        <v>75</v>
      </c>
      <c r="C10" cm="1">
        <f t="array" ref="C10">CountValueWithColumnACondition("w(0)", "Piotr")</f>
        <v>56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68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57</v>
      </c>
    </row>
    <row r="15" spans="2:3" x14ac:dyDescent="0.25">
      <c r="B15" s="89" t="s">
        <v>76</v>
      </c>
      <c r="C15" cm="1">
        <f t="array" ref="C15">CountValueWithColumnACondition("w(15)", "Piotr")</f>
        <v>57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66</v>
      </c>
    </row>
    <row r="18" spans="1:14" x14ac:dyDescent="0.25">
      <c r="B18" s="50" t="s">
        <v>38</v>
      </c>
      <c r="C18" cm="1">
        <f t="array" ref="C18">CountValueWithColumnACondition("w(30)", "Marcin")</f>
        <v>30</v>
      </c>
    </row>
    <row r="19" spans="1:14" x14ac:dyDescent="0.25">
      <c r="B19" s="50" t="s">
        <v>39</v>
      </c>
      <c r="C19" s="34" cm="1">
        <f t="array" ref="C19">CountValueWithColumnACondition("w(30)", "Rysiek")</f>
        <v>79</v>
      </c>
    </row>
    <row r="20" spans="1:14" x14ac:dyDescent="0.25">
      <c r="B20" s="89" t="s">
        <v>77</v>
      </c>
      <c r="C20" s="34" cm="1">
        <f t="array" ref="C20">CountValueWithColumnACondition("w(30)", "Piotr")</f>
        <v>93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82</v>
      </c>
    </row>
    <row r="23" spans="1:14" x14ac:dyDescent="0.25">
      <c r="B23" s="50" t="s">
        <v>43</v>
      </c>
      <c r="C23" cm="1">
        <f t="array" ref="C23">CountValueWithColumnACondition("w(z)", "Marcin")</f>
        <v>37</v>
      </c>
    </row>
    <row r="24" spans="1:14" x14ac:dyDescent="0.25">
      <c r="B24" s="50" t="s">
        <v>44</v>
      </c>
      <c r="C24" cm="1">
        <f t="array" ref="C24">CountValueWithColumnACondition("w(z)", "Rysiek")</f>
        <v>80</v>
      </c>
    </row>
    <row r="25" spans="1:14" x14ac:dyDescent="0.25">
      <c r="B25" s="89" t="s">
        <v>78</v>
      </c>
      <c r="C25" cm="1">
        <f t="array" ref="C25">CountValueWithColumnACondition("w(z)", "Piotr")</f>
        <v>50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255</v>
      </c>
      <c r="F27" s="87"/>
    </row>
    <row r="28" spans="1:14" x14ac:dyDescent="0.25">
      <c r="A28" s="87"/>
      <c r="B28" s="53" t="s">
        <v>8</v>
      </c>
      <c r="C28">
        <f>SUM(C8,C13,C18,C23)</f>
        <v>99</v>
      </c>
      <c r="N28" s="111" t="s">
        <v>82</v>
      </c>
    </row>
    <row r="29" spans="1:14" x14ac:dyDescent="0.25">
      <c r="B29" s="53" t="s">
        <v>6</v>
      </c>
      <c r="C29">
        <f>SUM(C9,C14,C19,C24)</f>
        <v>248</v>
      </c>
    </row>
    <row r="30" spans="1:14" x14ac:dyDescent="0.25">
      <c r="B30" s="89" t="s">
        <v>67</v>
      </c>
      <c r="C30">
        <f>SUM(C10,C15,C20,C25)</f>
        <v>256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88</v>
      </c>
    </row>
    <row r="33" spans="2:3" x14ac:dyDescent="0.25">
      <c r="B33" s="51" t="s">
        <v>49</v>
      </c>
      <c r="C33" cm="1">
        <f t="array" ref="C33">CountWins("Marcin","Irek")</f>
        <v>48</v>
      </c>
    </row>
    <row r="34" spans="2:3" x14ac:dyDescent="0.25">
      <c r="B34" s="51" t="s">
        <v>52</v>
      </c>
      <c r="C34" cm="1">
        <f t="array" ref="C34">CountWins("Marcin","Rysiek")</f>
        <v>37</v>
      </c>
    </row>
    <row r="35" spans="2:3" x14ac:dyDescent="0.25">
      <c r="B35" s="51" t="s">
        <v>53</v>
      </c>
      <c r="C35" cm="1">
        <f t="array" ref="C35">CountWins("Rysiek","Marcin")</f>
        <v>87</v>
      </c>
    </row>
    <row r="36" spans="2:3" x14ac:dyDescent="0.25">
      <c r="B36" s="51" t="s">
        <v>50</v>
      </c>
      <c r="C36" cm="1">
        <f t="array" ref="C36">CountWins("Irek","Rysiek")</f>
        <v>100</v>
      </c>
    </row>
    <row r="37" spans="2:3" x14ac:dyDescent="0.25">
      <c r="B37" s="51" t="s">
        <v>51</v>
      </c>
      <c r="C37" cm="1">
        <f t="array" ref="C37">CountWins("Rysiek","Irek")</f>
        <v>105</v>
      </c>
    </row>
    <row r="38" spans="2:3" x14ac:dyDescent="0.25">
      <c r="B38" s="88" t="s">
        <v>69</v>
      </c>
      <c r="C38" cm="1">
        <f t="array" ref="C38">CountWins("Irek","Piotr")</f>
        <v>67</v>
      </c>
    </row>
    <row r="39" spans="2:3" x14ac:dyDescent="0.25">
      <c r="B39" s="88" t="s">
        <v>70</v>
      </c>
      <c r="C39" cm="1">
        <f t="array" ref="C39">CountWins("Piotr","Irek")</f>
        <v>96</v>
      </c>
    </row>
    <row r="40" spans="2:3" x14ac:dyDescent="0.25">
      <c r="B40" s="88" t="s">
        <v>71</v>
      </c>
      <c r="C40" cm="1">
        <f t="array" ref="C40">CountWins("MArcin","Piotr")</f>
        <v>14</v>
      </c>
    </row>
    <row r="41" spans="2:3" x14ac:dyDescent="0.25">
      <c r="B41" s="88" t="s">
        <v>72</v>
      </c>
      <c r="C41" cm="1">
        <f t="array" ref="C41">CountWins("Piotr","Marcin")</f>
        <v>65</v>
      </c>
    </row>
    <row r="42" spans="2:3" x14ac:dyDescent="0.25">
      <c r="B42" s="88" t="s">
        <v>73</v>
      </c>
      <c r="C42" cm="1">
        <f t="array" ref="C42">CountWins("Rysiek","Piotr")</f>
        <v>58</v>
      </c>
    </row>
    <row r="43" spans="2:3" x14ac:dyDescent="0.25">
      <c r="B43" s="88" t="s">
        <v>74</v>
      </c>
      <c r="C43" cm="1">
        <f t="array" ref="C43">CountWins("Piotr","Rysiek")</f>
        <v>95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133</v>
      </c>
    </row>
    <row r="47" spans="2:3" x14ac:dyDescent="0.25">
      <c r="B47" s="53" t="s">
        <v>55</v>
      </c>
      <c r="C47" cm="1">
        <f t="array" ref="C47">CountCellsStartingWithWwhereColumnSorO("Irek","o")</f>
        <v>122</v>
      </c>
    </row>
    <row r="48" spans="2:3" x14ac:dyDescent="0.25">
      <c r="B48" s="53" t="s">
        <v>56</v>
      </c>
      <c r="C48" cm="1">
        <f t="array" ref="C48">CountCellsStartingWithWwhereColumnSorO("Rysiek","s")</f>
        <v>129</v>
      </c>
    </row>
    <row r="49" spans="2:3" x14ac:dyDescent="0.25">
      <c r="B49" s="53" t="s">
        <v>57</v>
      </c>
      <c r="C49" cm="1">
        <f t="array" ref="C49">CountCellsStartingWithWwhereColumnSorO("Rysiek","o")</f>
        <v>121</v>
      </c>
    </row>
    <row r="50" spans="2:3" x14ac:dyDescent="0.25">
      <c r="B50" s="53" t="s">
        <v>58</v>
      </c>
      <c r="C50" cm="1">
        <f t="array" ref="C50">CountCellsStartingWithWwhereColumnSorO("Marcin","s")</f>
        <v>49</v>
      </c>
    </row>
    <row r="51" spans="2:3" x14ac:dyDescent="0.25">
      <c r="B51" s="53" t="s">
        <v>59</v>
      </c>
      <c r="C51" cm="1">
        <f t="array" ref="C51">CountCellsStartingWithWwhereColumnSorO("Marcin","o")</f>
        <v>50</v>
      </c>
    </row>
    <row r="52" spans="2:3" x14ac:dyDescent="0.25">
      <c r="B52" s="89" t="s">
        <v>79</v>
      </c>
      <c r="C52" cm="1">
        <f t="array" ref="C52">CountCellsStartingWithWwhereColumnSorO("Piotr","s")</f>
        <v>123</v>
      </c>
    </row>
    <row r="53" spans="2:3" x14ac:dyDescent="0.25">
      <c r="B53" s="89" t="s">
        <v>80</v>
      </c>
      <c r="C53" cm="1">
        <f t="array" ref="C53">CountCellsStartingWithWwhereColumnSorO("Piotr","o")</f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abSelected="1"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prot_31_08_26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2026-08-30T09:08:03Z</dcterms:modified>
</cp:coreProperties>
</file>