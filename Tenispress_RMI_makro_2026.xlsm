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878" documentId="13_ncr:1_{32891C05-B7EF-4D94-B7C7-CC022DF648DD}" xr6:coauthVersionLast="47" xr6:coauthVersionMax="47" xr10:uidLastSave="{22737C5C-9F71-42AE-8551-07622F4D14A5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2" l="1"/>
  <c r="K39" i="2"/>
  <c r="K40" i="2" s="1"/>
  <c r="H39" i="2"/>
  <c r="H40" i="2" s="1"/>
  <c r="E39" i="2"/>
  <c r="N40" i="2"/>
  <c r="L40" i="2"/>
  <c r="I40" i="2"/>
  <c r="F40" i="2"/>
  <c r="E40" i="2"/>
  <c r="C40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85" l="1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24" i="17" a="1"/>
  <c r="C15" i="17" a="1"/>
  <c r="C51" i="17" a="1"/>
  <c r="C49" i="17" a="1"/>
  <c r="C52" i="17" a="1"/>
  <c r="C14" i="17" a="1"/>
  <c r="C19" i="17" a="1"/>
  <c r="C20" i="17" a="1"/>
  <c r="C7" i="17" a="1"/>
  <c r="C53" i="17" a="1"/>
  <c r="C50" i="17" a="1"/>
  <c r="C25" i="17" a="1"/>
  <c r="C38" i="17" a="1"/>
  <c r="C9" i="17" a="1"/>
  <c r="C4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<sst xmlns="http://schemas.openxmlformats.org/spreadsheetml/2006/main" count="7377" uniqueCount="103">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</sst>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1"/>
  <sheetViews>
    <sheetView tabSelected="1" topLeftCell="B36" zoomScaleNormal="100" workbookViewId="0">
      <selection activeCell="N38" sqref="N38:N39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9" si="0">VLOOKUP(D23,$D$6:$E$16,2,FALSE)+C23</f>
        <v>8</v>
      </c>
      <c r="F23" s="14">
        <v>10</v>
      </c>
      <c r="G23" s="18" t="s">
        <v>89</v>
      </c>
      <c r="H23" s="23">
        <f t="shared" ref="H23:H39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39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>VLOOKUP(J36,$D$6:$E$16,2,FALSE)+I36</f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>VLOOKUP(J37,$D$6:$E$16,2,FALSE)+I37</f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>VLOOKUP(J38,$D$6:$E$16,2,FALSE)+I38</f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>
        <v>4</v>
      </c>
      <c r="K39" s="24">
        <f>VLOOKUP(J39,$D$6:$E$16,2,FALSE)+I39</f>
        <v>1</v>
      </c>
      <c r="L39" s="56">
        <v>13</v>
      </c>
      <c r="M39" s="62">
        <v>1</v>
      </c>
      <c r="N39" s="58">
        <f t="shared" si="3"/>
        <v>20</v>
      </c>
    </row>
    <row r="40" spans="2:14" ht="27.75" customHeight="1" x14ac:dyDescent="0.5">
      <c r="B40" s="25" t="s">
        <v>15</v>
      </c>
      <c r="C40" s="97">
        <f>SUM(C22:C39)</f>
        <v>161</v>
      </c>
      <c r="E40" s="101">
        <f>SUM(E22:E39)</f>
        <v>234</v>
      </c>
      <c r="F40" s="97">
        <f>SUM(F22:F39)</f>
        <v>159</v>
      </c>
      <c r="G40" s="96"/>
      <c r="H40" s="107">
        <f>SUM(H22:H39)</f>
        <v>238</v>
      </c>
      <c r="I40" s="97">
        <f>SUM(I22:I39)</f>
        <v>75</v>
      </c>
      <c r="J40" s="25"/>
      <c r="K40" s="108">
        <f>SUM(K22:K39)</f>
        <v>109</v>
      </c>
      <c r="L40" s="97">
        <f>SUM(L22:L39)</f>
        <v>162</v>
      </c>
      <c r="N40" s="112">
        <f>SUM(N22:N39)</f>
        <v>243</v>
      </c>
    </row>
    <row r="41" spans="2:14" ht="14.25" customHeight="1" x14ac:dyDescent="0.25">
      <c r="K41" s="1"/>
    </row>
    <row r="42" spans="2:14" ht="14.25" customHeight="1" x14ac:dyDescent="0.25"/>
    <row r="43" spans="2:14" ht="14.25" customHeight="1" x14ac:dyDescent="0.25"/>
    <row r="44" spans="2:14" ht="14.25" customHeight="1" x14ac:dyDescent="0.25"/>
    <row r="45" spans="2:14" ht="14.25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44.25" customHeight="1" x14ac:dyDescent="0.25">
      <c r="P81" s="102" t="s">
        <v>82</v>
      </c>
    </row>
    <row r="82" spans="15:16" ht="14.25" customHeight="1" x14ac:dyDescent="0.25">
      <c r="O82" s="2"/>
    </row>
    <row r="83" spans="15:16" ht="14.25" customHeight="1" x14ac:dyDescent="0.25"/>
    <row r="84" spans="15:16" ht="14.25" customHeight="1" x14ac:dyDescent="0.25"/>
    <row r="85" spans="15:16" ht="14.25" customHeight="1" x14ac:dyDescent="0.25"/>
    <row r="86" spans="15:16" ht="14.25" customHeight="1" x14ac:dyDescent="0.25"/>
    <row r="87" spans="15:16" ht="14.25" customHeight="1" x14ac:dyDescent="0.25"/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24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23</v>
      </c>
    </row>
    <row r="10" spans="2:3" x14ac:dyDescent="0.25">
      <c r="B10" t="s">
        <v>75</v>
      </c>
      <c r="C10" cm="1">
        <f t="array" ref="C10">CountValueWithColumnACondition("w(0)", "Piotr")</f>
        <v>26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38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39</v>
      </c>
    </row>
    <row r="15" spans="2:3" x14ac:dyDescent="0.25">
      <c r="B15" s="89" t="s">
        <v>76</v>
      </c>
      <c r="C15" cm="1">
        <f t="array" ref="C15">CountValueWithColumnACondition("w(15)", "Piotr")</f>
        <v>43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45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45</v>
      </c>
    </row>
    <row r="20" spans="1:14" x14ac:dyDescent="0.25">
      <c r="B20" s="89" t="s">
        <v>77</v>
      </c>
      <c r="C20" s="34" cm="1">
        <f t="array" ref="C20">CountValueWithColumnACondition("w(30)", "Piotr")</f>
        <v>57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54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50</v>
      </c>
    </row>
    <row r="25" spans="1:14" x14ac:dyDescent="0.25">
      <c r="B25" s="89" t="s">
        <v>78</v>
      </c>
      <c r="C25" cm="1">
        <f t="array" ref="C25">CountValueWithColumnACondition("w(z)", "Piotr")</f>
        <v>36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161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157</v>
      </c>
    </row>
    <row r="30" spans="1:14" x14ac:dyDescent="0.25">
      <c r="B30" s="89" t="s">
        <v>67</v>
      </c>
      <c r="C30">
        <f>SUM(C10,C15,C20,C25)</f>
        <v>162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63</v>
      </c>
    </row>
    <row r="37" spans="2:3" x14ac:dyDescent="0.25">
      <c r="B37" s="51" t="s">
        <v>51</v>
      </c>
      <c r="C37" cm="1">
        <f t="array" ref="C37">CountWins("Rysiek","Irek")</f>
        <v>71</v>
      </c>
    </row>
    <row r="38" spans="2:3" x14ac:dyDescent="0.25">
      <c r="B38" s="88" t="s">
        <v>69</v>
      </c>
      <c r="C38" cm="1">
        <f t="array" ref="C38">CountWins("Irek","Piotr")</f>
        <v>42</v>
      </c>
    </row>
    <row r="39" spans="2:3" x14ac:dyDescent="0.25">
      <c r="B39" s="88" t="s">
        <v>70</v>
      </c>
      <c r="C39" cm="1">
        <f t="array" ref="C39">CountWins("Piotr","Irek")</f>
        <v>60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31</v>
      </c>
    </row>
    <row r="43" spans="2:3" x14ac:dyDescent="0.25">
      <c r="B43" s="88" t="s">
        <v>74</v>
      </c>
      <c r="C43" cm="1">
        <f t="array" ref="C43">CountWins("Piotr","Rysiek")</f>
        <v>60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86</v>
      </c>
    </row>
    <row r="47" spans="2:3" x14ac:dyDescent="0.25">
      <c r="B47" s="53" t="s">
        <v>55</v>
      </c>
      <c r="C47" cm="1">
        <f t="array" ref="C47">CountCellsStartingWithWwhereColumnSorO("Irek","o")</f>
        <v>75</v>
      </c>
    </row>
    <row r="48" spans="2:3" x14ac:dyDescent="0.25">
      <c r="B48" s="53" t="s">
        <v>56</v>
      </c>
      <c r="C48" cm="1">
        <f t="array" ref="C48">CountCellsStartingWithWwhereColumnSorO("Rysiek","s")</f>
        <v>84</v>
      </c>
    </row>
    <row r="49" spans="2:3" x14ac:dyDescent="0.25">
      <c r="B49" s="53" t="s">
        <v>57</v>
      </c>
      <c r="C49" cm="1">
        <f t="array" ref="C49">CountCellsStartingWithWwhereColumnSorO("Rysiek","o")</f>
        <v>75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78</v>
      </c>
    </row>
    <row r="53" spans="2:3" x14ac:dyDescent="0.25">
      <c r="B53" s="89" t="s">
        <v>80</v>
      </c>
      <c r="C53" cm="1">
        <f t="array" ref="C53">CountCellsStartingWithWwhereColumnSorO("Piotr","o")</f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6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prot_10_05_26</v>
      </c>
    </row>
    <row r="23" spans="2:6" x14ac:dyDescent="0.25">
      <c r="B23" t="str">
        <v>prot_17_05_26</v>
      </c>
    </row>
    <row r="24" spans="2:6" x14ac:dyDescent="0.25">
      <c r="B24" t="str">
        <v>prot_24_05_26</v>
      </c>
      <c r="F24" s="88"/>
    </row>
    <row r="25" spans="2:6" x14ac:dyDescent="0.25">
      <c r="B25" t="str">
        <v>prot_07_06_26</v>
      </c>
      <c r="E25" s="88"/>
    </row>
    <row r="26" spans="2:6" x14ac:dyDescent="0.25">
      <c r="B26" t="str">
        <v>prot_14_06_26</v>
      </c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2026-06-14T09:05:26Z</dcterms:modified>
</cp:coreProperties>
</file>