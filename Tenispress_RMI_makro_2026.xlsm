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Dokumenty/Tenisxpress_copy/"/>
    </mc:Choice>
  </mc:AlternateContent>
  <xr:revisionPtr revIDLastSave="0" documentId="8_{02F00A07-71D9-4184-B6D2-C43FDB148172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4" i="77" l="1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C87" i="77" s="1"/>
  <c r="N4" i="77"/>
  <c r="K30" i="2"/>
  <c r="H30" i="2"/>
  <c r="E30" i="2"/>
  <c r="L31" i="2"/>
  <c r="I31" i="2"/>
  <c r="H31" i="2"/>
  <c r="F31" i="2"/>
  <c r="C31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31" i="2" s="1"/>
  <c r="K23" i="2"/>
  <c r="H23" i="2"/>
  <c r="E23" i="2"/>
  <c r="E31" i="2" s="1"/>
  <c r="C88" i="77" l="1"/>
  <c r="C89" i="77"/>
  <c r="C86" i="77"/>
  <c r="K31" i="2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4" i="17" a="1"/>
  <c r="C20" i="17" a="1"/>
  <c r="C19" i="17" a="1"/>
  <c r="C48" i="17" a="1"/>
  <c r="C7" i="17" a="1"/>
  <c r="C51" i="17" a="1"/>
  <c r="C50" i="17" a="1"/>
  <c r="C49" i="17" a="1"/>
  <c r="C10" i="17" a="1"/>
  <c r="C15" i="17" a="1"/>
  <c r="C38" i="17" a="1"/>
  <c r="C53" i="17" a="1"/>
  <c r="C25" i="17" a="1"/>
  <c r="C14" i="17" a="1"/>
  <c r="C52" i="17" a="1"/>
  <c r="C9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<sst xmlns="http://schemas.openxmlformats.org/spreadsheetml/2006/main" count="4111" uniqueCount="102">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</sst>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1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ny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4</xdr:row>
          <xdr:rowOff>22860</xdr:rowOff>
        </xdr:from>
        <xdr:to>
          <xdr:col>11</xdr:col>
          <xdr:colOff>441960</xdr:colOff>
          <xdr:row>5</xdr:row>
          <xdr:rowOff>160020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160020</xdr:rowOff>
        </xdr:from>
        <xdr:to>
          <xdr:col>9</xdr:col>
          <xdr:colOff>403860</xdr:colOff>
          <xdr:row>6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4140625" defaultRowHeight="15" customHeight="1" x14ac:dyDescent="0.3"/>
  <cols>
    <col min="1" max="2" width="8.6640625" customWidth="1"/>
    <col min="3" max="3" width="17.44140625" customWidth="1"/>
    <col min="4" max="4" width="21.44140625" customWidth="1"/>
    <col min="5" max="7" width="8.6640625" customWidth="1"/>
    <col min="8" max="8" width="13.6640625" customWidth="1"/>
    <col min="9" max="26" width="8.6640625" customWidth="1"/>
  </cols>
  <sheetData>
    <row r="1" spans="3:8" ht="14.25" customHeight="1" x14ac:dyDescent="0.3"/>
    <row r="2" spans="3:8" ht="14.25" customHeight="1" x14ac:dyDescent="0.3">
      <c r="H2" s="1" t="s">
        <v>0</v>
      </c>
    </row>
    <row r="3" spans="3:8" ht="14.25" customHeight="1" x14ac:dyDescent="0.3">
      <c r="C3" s="2" t="s">
        <v>1</v>
      </c>
      <c r="D3" s="3">
        <v>30</v>
      </c>
    </row>
    <row r="4" spans="3:8" ht="14.25" customHeight="1" x14ac:dyDescent="0.3">
      <c r="C4" s="2" t="s">
        <v>2</v>
      </c>
      <c r="D4" s="4">
        <f>(D3+SUM(E9:E35))</f>
        <v>510</v>
      </c>
    </row>
    <row r="5" spans="3:8" ht="14.25" customHeight="1" x14ac:dyDescent="0.3">
      <c r="D5" s="5"/>
    </row>
    <row r="6" spans="3:8" ht="14.25" customHeight="1" x14ac:dyDescent="0.3"/>
    <row r="7" spans="3:8" ht="14.25" customHeight="1" x14ac:dyDescent="0.3"/>
    <row r="8" spans="3:8" ht="14.25" customHeight="1" x14ac:dyDescent="0.3">
      <c r="C8" s="1" t="s">
        <v>3</v>
      </c>
      <c r="D8" s="1" t="s">
        <v>4</v>
      </c>
      <c r="E8" s="2" t="s">
        <v>5</v>
      </c>
    </row>
    <row r="9" spans="3:8" ht="14.25" customHeight="1" x14ac:dyDescent="0.3">
      <c r="C9" s="6">
        <v>45445</v>
      </c>
      <c r="D9" s="2" t="s">
        <v>6</v>
      </c>
      <c r="E9" s="3">
        <v>10</v>
      </c>
    </row>
    <row r="10" spans="3:8" ht="14.25" customHeight="1" x14ac:dyDescent="0.3">
      <c r="C10" s="6">
        <v>45452</v>
      </c>
      <c r="D10" s="2" t="s">
        <v>7</v>
      </c>
      <c r="E10" s="7">
        <v>10</v>
      </c>
    </row>
    <row r="11" spans="3:8" ht="14.25" customHeight="1" x14ac:dyDescent="0.3">
      <c r="C11" s="6">
        <v>45458</v>
      </c>
      <c r="D11" s="2" t="s">
        <v>8</v>
      </c>
      <c r="E11" s="7">
        <v>10</v>
      </c>
    </row>
    <row r="12" spans="3:8" ht="14.25" customHeight="1" x14ac:dyDescent="0.3">
      <c r="C12" s="6">
        <v>45466</v>
      </c>
      <c r="D12" s="2" t="s">
        <v>6</v>
      </c>
      <c r="E12" s="7">
        <v>10</v>
      </c>
    </row>
    <row r="13" spans="3:8" ht="14.25" customHeight="1" x14ac:dyDescent="0.3">
      <c r="C13" s="6">
        <v>45487</v>
      </c>
      <c r="D13" s="2" t="s">
        <v>7</v>
      </c>
      <c r="E13" s="7">
        <v>10</v>
      </c>
    </row>
    <row r="14" spans="3:8" ht="14.25" customHeight="1" x14ac:dyDescent="0.3">
      <c r="C14" s="6">
        <v>45494</v>
      </c>
      <c r="D14" s="2" t="s">
        <v>8</v>
      </c>
      <c r="E14" s="7">
        <v>10</v>
      </c>
    </row>
    <row r="15" spans="3:8" ht="14.25" customHeight="1" x14ac:dyDescent="0.3">
      <c r="C15" s="6">
        <v>45487</v>
      </c>
      <c r="D15" s="2" t="s">
        <v>6</v>
      </c>
      <c r="E15" s="7">
        <v>10</v>
      </c>
    </row>
    <row r="16" spans="3:8" ht="14.25" customHeight="1" x14ac:dyDescent="0.3">
      <c r="C16" s="8">
        <v>45532</v>
      </c>
      <c r="D16" s="2" t="s">
        <v>7</v>
      </c>
      <c r="E16" s="7">
        <v>10</v>
      </c>
    </row>
    <row r="17" spans="3:5" ht="14.25" customHeight="1" x14ac:dyDescent="0.3">
      <c r="C17" s="6">
        <v>45536</v>
      </c>
      <c r="D17" s="2" t="s">
        <v>8</v>
      </c>
      <c r="E17" s="7">
        <v>10</v>
      </c>
    </row>
    <row r="18" spans="3:5" ht="14.25" customHeight="1" x14ac:dyDescent="0.3">
      <c r="C18" s="6">
        <v>45177</v>
      </c>
      <c r="D18" s="2" t="s">
        <v>6</v>
      </c>
      <c r="E18" s="7">
        <v>10</v>
      </c>
    </row>
    <row r="19" spans="3:5" ht="14.25" customHeight="1" x14ac:dyDescent="0.3">
      <c r="C19" s="6">
        <v>45550</v>
      </c>
      <c r="D19" s="2" t="s">
        <v>7</v>
      </c>
      <c r="E19" s="7">
        <v>10</v>
      </c>
    </row>
    <row r="20" spans="3:5" ht="14.25" customHeight="1" x14ac:dyDescent="0.3">
      <c r="C20" s="8">
        <v>45557</v>
      </c>
      <c r="D20" s="2" t="s">
        <v>8</v>
      </c>
      <c r="E20" s="7">
        <v>10</v>
      </c>
    </row>
    <row r="21" spans="3:5" ht="14.25" customHeight="1" x14ac:dyDescent="0.3">
      <c r="C21" s="6">
        <v>45564</v>
      </c>
      <c r="D21" s="2" t="s">
        <v>6</v>
      </c>
      <c r="E21" s="9">
        <v>10</v>
      </c>
    </row>
    <row r="22" spans="3:5" ht="14.25" customHeight="1" x14ac:dyDescent="0.3">
      <c r="C22" s="8">
        <v>45570</v>
      </c>
      <c r="D22" s="2" t="s">
        <v>7</v>
      </c>
      <c r="E22" s="7">
        <v>10</v>
      </c>
    </row>
    <row r="23" spans="3:5" ht="14.25" customHeight="1" x14ac:dyDescent="0.3">
      <c r="C23" s="6">
        <v>45578</v>
      </c>
      <c r="D23" s="2" t="s">
        <v>8</v>
      </c>
      <c r="E23" s="7">
        <v>10</v>
      </c>
    </row>
    <row r="24" spans="3:5" ht="14.25" customHeight="1" x14ac:dyDescent="0.3">
      <c r="C24" s="32">
        <v>45592</v>
      </c>
      <c r="D24" s="2" t="s">
        <v>6</v>
      </c>
      <c r="E24" s="7">
        <v>10</v>
      </c>
    </row>
    <row r="25" spans="3:5" ht="14.25" customHeight="1" x14ac:dyDescent="0.3">
      <c r="C25" s="32">
        <v>45598</v>
      </c>
      <c r="D25" s="2" t="s">
        <v>7</v>
      </c>
      <c r="E25" s="33">
        <v>10</v>
      </c>
    </row>
    <row r="26" spans="3:5" ht="14.25" customHeight="1" x14ac:dyDescent="0.3">
      <c r="C26" s="32">
        <v>45606</v>
      </c>
      <c r="D26" s="2" t="s">
        <v>8</v>
      </c>
      <c r="E26" s="33">
        <v>10</v>
      </c>
    </row>
    <row r="27" spans="3:5" ht="14.25" customHeight="1" x14ac:dyDescent="0.3">
      <c r="C27" s="32">
        <v>45613</v>
      </c>
      <c r="D27" s="2" t="s">
        <v>6</v>
      </c>
      <c r="E27" s="33">
        <v>10</v>
      </c>
    </row>
    <row r="28" spans="3:5" ht="14.25" customHeight="1" x14ac:dyDescent="0.3">
      <c r="C28" s="32">
        <v>45620</v>
      </c>
      <c r="D28" s="2" t="s">
        <v>7</v>
      </c>
      <c r="E28" s="33">
        <v>10</v>
      </c>
    </row>
    <row r="29" spans="3:5" ht="14.25" customHeight="1" x14ac:dyDescent="0.3">
      <c r="C29" s="32">
        <v>45625</v>
      </c>
      <c r="D29" s="2" t="s">
        <v>6</v>
      </c>
      <c r="E29" s="33">
        <v>10</v>
      </c>
    </row>
    <row r="30" spans="3:5" ht="14.25" customHeight="1" x14ac:dyDescent="0.3">
      <c r="C30" s="32">
        <v>38332</v>
      </c>
      <c r="D30" s="99" t="s">
        <v>67</v>
      </c>
      <c r="E30" s="33">
        <v>10</v>
      </c>
    </row>
    <row r="31" spans="3:5" ht="14.25" customHeight="1" x14ac:dyDescent="0.3">
      <c r="C31" s="100">
        <v>45683</v>
      </c>
      <c r="D31" s="99" t="s">
        <v>8</v>
      </c>
      <c r="E31" s="33">
        <v>10</v>
      </c>
    </row>
    <row r="32" spans="3:5" ht="14.25" customHeight="1" x14ac:dyDescent="0.3">
      <c r="C32" s="32">
        <v>45338</v>
      </c>
      <c r="D32" s="109" t="s">
        <v>67</v>
      </c>
      <c r="E32" s="33">
        <v>10</v>
      </c>
    </row>
    <row r="33" spans="5:5" ht="14.25" customHeight="1" x14ac:dyDescent="0.3">
      <c r="E33" s="110">
        <f>SUM(E9:E32)</f>
        <v>240</v>
      </c>
    </row>
    <row r="34" spans="5:5" ht="14.25" customHeight="1" x14ac:dyDescent="0.3"/>
    <row r="35" spans="5:5" ht="14.25" customHeight="1" x14ac:dyDescent="0.3"/>
    <row r="36" spans="5:5" ht="14.25" customHeight="1" x14ac:dyDescent="0.3"/>
    <row r="37" spans="5:5" ht="14.25" customHeight="1" x14ac:dyDescent="0.3"/>
    <row r="38" spans="5:5" ht="14.25" customHeight="1" x14ac:dyDescent="0.3"/>
    <row r="39" spans="5:5" ht="14.25" customHeight="1" x14ac:dyDescent="0.3"/>
    <row r="40" spans="5:5" ht="14.25" customHeight="1" x14ac:dyDescent="0.3"/>
    <row r="41" spans="5:5" ht="14.25" customHeight="1" x14ac:dyDescent="0.3"/>
    <row r="42" spans="5:5" ht="14.25" customHeight="1" x14ac:dyDescent="0.3"/>
    <row r="43" spans="5:5" ht="14.25" customHeight="1" x14ac:dyDescent="0.3"/>
    <row r="44" spans="5:5" ht="14.25" customHeight="1" x14ac:dyDescent="0.3"/>
    <row r="45" spans="5:5" ht="14.25" customHeight="1" x14ac:dyDescent="0.3"/>
    <row r="46" spans="5:5" ht="14.25" customHeight="1" x14ac:dyDescent="0.3"/>
    <row r="47" spans="5:5" ht="14.25" customHeight="1" x14ac:dyDescent="0.3"/>
    <row r="48" spans="5:5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2"/>
  <sheetViews>
    <sheetView tabSelected="1" topLeftCell="A19" zoomScaleNormal="100" workbookViewId="0">
      <selection activeCell="N30" sqref="N30"/>
    </sheetView>
  </sheetViews>
  <sheetFormatPr defaultColWidth="14.44140625" defaultRowHeight="15" customHeight="1" x14ac:dyDescent="0.3"/>
  <cols>
    <col min="1" max="1" width="8.6640625" customWidth="1"/>
    <col min="2" max="2" width="25.88671875" customWidth="1"/>
    <col min="3" max="3" width="15.33203125" customWidth="1"/>
    <col min="4" max="4" width="8.6640625" customWidth="1"/>
    <col min="5" max="5" width="13.88671875" customWidth="1"/>
    <col min="6" max="6" width="14.88671875" customWidth="1"/>
    <col min="7" max="7" width="8.6640625" customWidth="1"/>
    <col min="8" max="8" width="10.44140625" customWidth="1"/>
    <col min="9" max="9" width="14.6640625" customWidth="1"/>
    <col min="10" max="10" width="10.5546875" customWidth="1"/>
    <col min="11" max="11" width="11.6640625" customWidth="1"/>
    <col min="12" max="12" width="15.109375" customWidth="1"/>
    <col min="13" max="13" width="8.6640625" customWidth="1"/>
    <col min="14" max="14" width="12.5546875" customWidth="1"/>
    <col min="15" max="26" width="8.6640625" customWidth="1"/>
  </cols>
  <sheetData>
    <row r="1" spans="1:10" ht="84" customHeight="1" x14ac:dyDescent="0.6">
      <c r="B1" s="95" t="s">
        <v>95</v>
      </c>
    </row>
    <row r="2" spans="1:10" ht="15" customHeight="1" x14ac:dyDescent="0.3">
      <c r="B2" s="1"/>
    </row>
    <row r="4" spans="1:10" ht="14.25" customHeight="1" x14ac:dyDescent="0.3">
      <c r="A4" s="2"/>
    </row>
    <row r="5" spans="1:10" ht="14.25" customHeight="1" x14ac:dyDescent="0.3">
      <c r="D5" s="10" t="s">
        <v>9</v>
      </c>
      <c r="E5" s="10" t="s">
        <v>10</v>
      </c>
      <c r="J5" t="s">
        <v>96</v>
      </c>
    </row>
    <row r="6" spans="1:10" ht="14.25" customHeight="1" x14ac:dyDescent="0.3">
      <c r="D6" s="11">
        <v>1</v>
      </c>
      <c r="E6" s="11">
        <v>7</v>
      </c>
    </row>
    <row r="7" spans="1:10" ht="14.25" customHeight="1" x14ac:dyDescent="0.3">
      <c r="B7" s="92" t="s">
        <v>11</v>
      </c>
      <c r="D7" s="11">
        <v>2</v>
      </c>
      <c r="E7" s="11">
        <v>5</v>
      </c>
    </row>
    <row r="8" spans="1:10" ht="14.25" customHeight="1" x14ac:dyDescent="0.3">
      <c r="B8" s="91" t="s">
        <v>87</v>
      </c>
      <c r="D8" s="11">
        <v>3</v>
      </c>
      <c r="E8" s="11">
        <v>3</v>
      </c>
    </row>
    <row r="9" spans="1:10" ht="14.25" customHeight="1" x14ac:dyDescent="0.3">
      <c r="B9" s="91" t="s">
        <v>88</v>
      </c>
      <c r="D9" s="11">
        <v>4</v>
      </c>
      <c r="E9" s="11">
        <v>1</v>
      </c>
    </row>
    <row r="10" spans="1:10" ht="14.25" customHeight="1" x14ac:dyDescent="0.3">
      <c r="B10" s="91"/>
      <c r="D10" s="61" t="s">
        <v>89</v>
      </c>
      <c r="E10" s="11">
        <v>6</v>
      </c>
    </row>
    <row r="11" spans="1:10" ht="14.25" customHeight="1" x14ac:dyDescent="0.3">
      <c r="B11" s="91"/>
      <c r="D11" s="61" t="s">
        <v>90</v>
      </c>
      <c r="E11" s="11">
        <v>4</v>
      </c>
    </row>
    <row r="12" spans="1:10" ht="14.25" customHeight="1" x14ac:dyDescent="0.3">
      <c r="B12" s="91"/>
      <c r="D12" s="61" t="s">
        <v>91</v>
      </c>
      <c r="E12" s="11">
        <v>2</v>
      </c>
    </row>
    <row r="13" spans="1:10" ht="14.25" customHeight="1" x14ac:dyDescent="0.3">
      <c r="B13" s="91"/>
      <c r="D13" s="61" t="s">
        <v>92</v>
      </c>
      <c r="E13" s="11">
        <v>5</v>
      </c>
    </row>
    <row r="14" spans="1:10" ht="14.25" customHeight="1" x14ac:dyDescent="0.3">
      <c r="B14" s="91"/>
      <c r="D14" s="61" t="s">
        <v>93</v>
      </c>
      <c r="E14" s="11">
        <v>3</v>
      </c>
    </row>
    <row r="15" spans="1:10" ht="14.25" customHeight="1" x14ac:dyDescent="0.3">
      <c r="B15" s="91"/>
      <c r="D15" s="61" t="s">
        <v>94</v>
      </c>
      <c r="E15" s="11">
        <v>4</v>
      </c>
    </row>
    <row r="16" spans="1:10" ht="14.25" customHeight="1" x14ac:dyDescent="0.3">
      <c r="B16" s="12"/>
      <c r="D16" s="60" t="s">
        <v>66</v>
      </c>
      <c r="E16" s="61">
        <v>0</v>
      </c>
    </row>
    <row r="17" spans="2:15" ht="14.25" customHeight="1" x14ac:dyDescent="0.3">
      <c r="B17" s="12"/>
      <c r="D17" s="93"/>
      <c r="E17" s="94"/>
    </row>
    <row r="18" spans="2:15" ht="14.25" customHeight="1" x14ac:dyDescent="0.3">
      <c r="B18" s="12"/>
      <c r="D18" s="93"/>
      <c r="E18" s="94"/>
    </row>
    <row r="19" spans="2:15" ht="14.25" customHeight="1" x14ac:dyDescent="0.3">
      <c r="B19" s="12"/>
      <c r="D19" s="93"/>
      <c r="E19" s="94"/>
    </row>
    <row r="20" spans="2:15" ht="14.25" customHeight="1" x14ac:dyDescent="0.3"/>
    <row r="21" spans="2:15" ht="30.75" customHeight="1" x14ac:dyDescent="0.6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3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3">
      <c r="B23" s="113">
        <v>46026</v>
      </c>
      <c r="C23" s="13">
        <v>7</v>
      </c>
      <c r="D23" s="16">
        <v>4</v>
      </c>
      <c r="E23" s="22">
        <f t="shared" ref="E23:E30" si="0">VLOOKUP(D23,$D$6:$E$16,2,FALSE)+C23</f>
        <v>8</v>
      </c>
      <c r="F23" s="14">
        <v>10</v>
      </c>
      <c r="G23" s="18" t="s">
        <v>89</v>
      </c>
      <c r="H23" s="23">
        <f t="shared" ref="H23:H30" si="1">VLOOKUP(G23,$D$6:$E$16,2,FALSE)+F23</f>
        <v>16</v>
      </c>
      <c r="I23" s="15">
        <v>10</v>
      </c>
      <c r="J23" s="20" t="s">
        <v>89</v>
      </c>
      <c r="K23" s="24">
        <f t="shared" ref="K23:K30" si="2">VLOOKUP(J23,$D$6:$E$16,2,FALSE)+I23</f>
        <v>16</v>
      </c>
      <c r="L23" s="56">
        <v>8</v>
      </c>
      <c r="M23" s="62">
        <v>3</v>
      </c>
      <c r="N23" s="58">
        <f t="shared" ref="N23:N29" si="3">VLOOKUP(M23,$D$6:$E$16,2,FALSE)+L23</f>
        <v>11</v>
      </c>
    </row>
    <row r="24" spans="2:15" ht="24" customHeight="1" x14ac:dyDescent="0.3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3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3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3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>
        <v>4</v>
      </c>
      <c r="N27" s="58">
        <f t="shared" si="3"/>
        <v>1</v>
      </c>
    </row>
    <row r="28" spans="2:15" ht="24" customHeight="1" x14ac:dyDescent="0.3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3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3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 t="s">
        <v>82</v>
      </c>
    </row>
    <row r="31" spans="2:15" ht="27.75" customHeight="1" x14ac:dyDescent="0.65">
      <c r="B31" s="25" t="s">
        <v>15</v>
      </c>
      <c r="C31" s="97">
        <f>SUM(C22:C30)</f>
        <v>83</v>
      </c>
      <c r="E31" s="101">
        <f>SUM(E22:E30)</f>
        <v>119</v>
      </c>
      <c r="F31" s="97">
        <f>SUM(F22:F30)</f>
        <v>87</v>
      </c>
      <c r="G31" s="96"/>
      <c r="H31" s="107">
        <f>SUM(H22:H30)</f>
        <v>128</v>
      </c>
      <c r="I31" s="97">
        <f>SUM(I22:I30)</f>
        <v>48</v>
      </c>
      <c r="J31" s="25"/>
      <c r="K31" s="108">
        <f>SUM(K22:K30)</f>
        <v>68</v>
      </c>
      <c r="L31" s="97">
        <f>SUM(L22:L30)</f>
        <v>55</v>
      </c>
      <c r="N31" s="112">
        <f>SUM(N22:N30)</f>
        <v>64</v>
      </c>
    </row>
    <row r="32" spans="2:15" ht="14.25" customHeight="1" x14ac:dyDescent="0.3">
      <c r="K32" s="1"/>
    </row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2.6" customHeight="1" x14ac:dyDescent="0.3"/>
    <row r="38" ht="12.6" customHeight="1" x14ac:dyDescent="0.3"/>
    <row r="39" ht="12.6" customHeight="1" x14ac:dyDescent="0.3"/>
    <row r="40" ht="12.6" customHeight="1" x14ac:dyDescent="0.3"/>
    <row r="41" ht="12.6" customHeight="1" x14ac:dyDescent="0.3"/>
    <row r="42" ht="12.6" customHeight="1" x14ac:dyDescent="0.3"/>
    <row r="43" ht="12.6" customHeight="1" x14ac:dyDescent="0.3"/>
    <row r="44" ht="12.6" customHeight="1" x14ac:dyDescent="0.3"/>
    <row r="45" ht="12.6" customHeight="1" x14ac:dyDescent="0.3"/>
    <row r="46" ht="12.6" customHeight="1" x14ac:dyDescent="0.3"/>
    <row r="47" ht="12.6" customHeight="1" x14ac:dyDescent="0.3"/>
    <row r="48" ht="12.6" customHeight="1" x14ac:dyDescent="0.3"/>
    <row r="49" ht="12.6" customHeight="1" x14ac:dyDescent="0.3"/>
    <row r="50" ht="12.6" customHeight="1" x14ac:dyDescent="0.3"/>
    <row r="51" ht="12.6" customHeight="1" x14ac:dyDescent="0.3"/>
    <row r="52" ht="12.6" customHeight="1" x14ac:dyDescent="0.3"/>
    <row r="53" ht="12.6" customHeight="1" x14ac:dyDescent="0.3"/>
    <row r="54" ht="12.6" customHeight="1" x14ac:dyDescent="0.3"/>
    <row r="55" ht="12.6" customHeight="1" x14ac:dyDescent="0.3"/>
    <row r="56" ht="12.6" customHeight="1" x14ac:dyDescent="0.3"/>
    <row r="57" ht="12.6" customHeight="1" x14ac:dyDescent="0.3"/>
    <row r="58" ht="12.6" customHeight="1" x14ac:dyDescent="0.3"/>
    <row r="59" ht="12.6" customHeight="1" x14ac:dyDescent="0.3"/>
    <row r="60" ht="12.6" customHeight="1" x14ac:dyDescent="0.3"/>
    <row r="61" ht="12.6" customHeight="1" x14ac:dyDescent="0.3"/>
    <row r="62" ht="12.6" customHeight="1" x14ac:dyDescent="0.3"/>
    <row r="63" ht="12.6" customHeight="1" x14ac:dyDescent="0.3"/>
    <row r="64" ht="12.6" customHeight="1" x14ac:dyDescent="0.3"/>
    <row r="65" spans="15:16" ht="12.6" customHeight="1" x14ac:dyDescent="0.3"/>
    <row r="66" spans="15:16" ht="12.6" customHeight="1" x14ac:dyDescent="0.3"/>
    <row r="67" spans="15:16" ht="12.6" customHeight="1" x14ac:dyDescent="0.3"/>
    <row r="68" spans="15:16" ht="12.6" customHeight="1" x14ac:dyDescent="0.3"/>
    <row r="69" spans="15:16" ht="12.6" customHeight="1" x14ac:dyDescent="0.3"/>
    <row r="70" spans="15:16" ht="12.6" customHeight="1" x14ac:dyDescent="0.3"/>
    <row r="71" spans="15:16" ht="12.6" customHeight="1" x14ac:dyDescent="0.3"/>
    <row r="72" spans="15:16" ht="44.25" customHeight="1" x14ac:dyDescent="0.3">
      <c r="P72" s="102" t="s">
        <v>82</v>
      </c>
    </row>
    <row r="73" spans="15:16" ht="14.25" customHeight="1" x14ac:dyDescent="0.3">
      <c r="O73" s="2"/>
    </row>
    <row r="74" spans="15:16" ht="14.25" customHeight="1" x14ac:dyDescent="0.3"/>
    <row r="75" spans="15:16" ht="14.25" customHeight="1" x14ac:dyDescent="0.3"/>
    <row r="76" spans="15:16" ht="14.25" customHeight="1" x14ac:dyDescent="0.3"/>
    <row r="77" spans="15:16" ht="14.25" customHeight="1" x14ac:dyDescent="0.3"/>
    <row r="78" spans="15:16" ht="14.25" customHeight="1" x14ac:dyDescent="0.3"/>
    <row r="79" spans="15:16" ht="14.25" customHeight="1" x14ac:dyDescent="0.3"/>
    <row r="80" spans="15:1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  <row r="1021" ht="14.25" customHeight="1" x14ac:dyDescent="0.3"/>
    <row r="1022" ht="14.25" customHeight="1" x14ac:dyDescent="0.3"/>
    <row r="1023" ht="14.25" customHeight="1" x14ac:dyDescent="0.3"/>
    <row r="1024" ht="14.25" customHeight="1" x14ac:dyDescent="0.3"/>
    <row r="1025" ht="14.25" customHeight="1" x14ac:dyDescent="0.3"/>
    <row r="1026" ht="14.25" customHeight="1" x14ac:dyDescent="0.3"/>
    <row r="1027" ht="14.25" customHeight="1" x14ac:dyDescent="0.3"/>
    <row r="1028" ht="14.25" customHeight="1" x14ac:dyDescent="0.3"/>
    <row r="1029" ht="14.25" customHeight="1" x14ac:dyDescent="0.3"/>
    <row r="1030" ht="14.25" customHeight="1" x14ac:dyDescent="0.3"/>
    <row r="1031" ht="14.25" customHeight="1" x14ac:dyDescent="0.3"/>
    <row r="1032" ht="14.25" customHeight="1" x14ac:dyDescent="0.3"/>
    <row r="1033" ht="14.25" customHeight="1" x14ac:dyDescent="0.3"/>
    <row r="1034" ht="14.25" customHeight="1" x14ac:dyDescent="0.3"/>
    <row r="1035" ht="14.25" customHeight="1" x14ac:dyDescent="0.3"/>
    <row r="1036" ht="14.25" customHeight="1" x14ac:dyDescent="0.3"/>
    <row r="1037" ht="14.25" customHeight="1" x14ac:dyDescent="0.3"/>
    <row r="1038" ht="14.25" customHeight="1" x14ac:dyDescent="0.3"/>
    <row r="1039" ht="14.25" customHeight="1" x14ac:dyDescent="0.3"/>
    <row r="1040" ht="14.25" customHeight="1" x14ac:dyDescent="0.3"/>
    <row r="1041" ht="14.25" customHeight="1" x14ac:dyDescent="0.3"/>
    <row r="1042" ht="14.25" customHeight="1" x14ac:dyDescent="0.3"/>
    <row r="1043" ht="14.25" customHeight="1" x14ac:dyDescent="0.3"/>
    <row r="1044" ht="14.25" customHeight="1" x14ac:dyDescent="0.3"/>
    <row r="1045" ht="14.25" customHeight="1" x14ac:dyDescent="0.3"/>
    <row r="1046" ht="14.25" customHeight="1" x14ac:dyDescent="0.3"/>
    <row r="1047" ht="14.25" customHeight="1" x14ac:dyDescent="0.3"/>
    <row r="1048" ht="14.25" customHeight="1" x14ac:dyDescent="0.3"/>
    <row r="1049" ht="14.25" customHeight="1" x14ac:dyDescent="0.3"/>
    <row r="1050" ht="14.25" customHeight="1" x14ac:dyDescent="0.3"/>
    <row r="1051" ht="14.25" customHeight="1" x14ac:dyDescent="0.3"/>
    <row r="1052" ht="14.25" customHeight="1" x14ac:dyDescent="0.3"/>
    <row r="1053" ht="14.25" customHeight="1" x14ac:dyDescent="0.3"/>
    <row r="1054" ht="14.25" customHeight="1" x14ac:dyDescent="0.3"/>
    <row r="1055" ht="14.25" customHeight="1" x14ac:dyDescent="0.3"/>
    <row r="1056" ht="14.25" customHeight="1" x14ac:dyDescent="0.3"/>
    <row r="1057" ht="14.25" customHeight="1" x14ac:dyDescent="0.3"/>
    <row r="1058" ht="14.25" customHeight="1" x14ac:dyDescent="0.3"/>
    <row r="1059" ht="14.25" customHeight="1" x14ac:dyDescent="0.3"/>
    <row r="1060" ht="14.25" customHeight="1" x14ac:dyDescent="0.3"/>
    <row r="1061" ht="14.25" customHeight="1" x14ac:dyDescent="0.3"/>
    <row r="1062" ht="14.25" customHeight="1" x14ac:dyDescent="0.3"/>
    <row r="1063" ht="14.25" customHeight="1" x14ac:dyDescent="0.3"/>
    <row r="1064" ht="14.25" customHeight="1" x14ac:dyDescent="0.3"/>
    <row r="1065" ht="14.25" customHeight="1" x14ac:dyDescent="0.3"/>
    <row r="1066" ht="14.25" customHeight="1" x14ac:dyDescent="0.3"/>
    <row r="1067" ht="14.25" customHeight="1" x14ac:dyDescent="0.3"/>
    <row r="1068" ht="14.25" customHeight="1" x14ac:dyDescent="0.3"/>
    <row r="1069" ht="14.25" customHeight="1" x14ac:dyDescent="0.3"/>
    <row r="1070" ht="14.25" customHeight="1" x14ac:dyDescent="0.3"/>
    <row r="1071" ht="14.25" customHeight="1" x14ac:dyDescent="0.3"/>
    <row r="1072" ht="14.25" customHeight="1" x14ac:dyDescent="0.3"/>
    <row r="1073" ht="14.25" customHeight="1" x14ac:dyDescent="0.3"/>
    <row r="1074" ht="14.25" customHeight="1" x14ac:dyDescent="0.3"/>
    <row r="1075" ht="14.25" customHeight="1" x14ac:dyDescent="0.3"/>
    <row r="1076" ht="14.25" customHeight="1" x14ac:dyDescent="0.3"/>
    <row r="1077" ht="14.25" customHeight="1" x14ac:dyDescent="0.3"/>
    <row r="1078" ht="14.25" customHeight="1" x14ac:dyDescent="0.3"/>
    <row r="1079" ht="14.25" customHeight="1" x14ac:dyDescent="0.3"/>
    <row r="1080" ht="14.25" customHeight="1" x14ac:dyDescent="0.3"/>
    <row r="1081" ht="14.25" customHeight="1" x14ac:dyDescent="0.3"/>
    <row r="1082" ht="14.25" customHeight="1" x14ac:dyDescent="0.3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480060</xdr:colOff>
                    <xdr:row>4</xdr:row>
                    <xdr:rowOff>22860</xdr:rowOff>
                  </from>
                  <to>
                    <xdr:col>11</xdr:col>
                    <xdr:colOff>441960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opLeftCell="A23" zoomScale="80" zoomScaleNormal="80" workbookViewId="0">
      <selection activeCell="C48" sqref="C48"/>
    </sheetView>
  </sheetViews>
  <sheetFormatPr defaultRowHeight="14.4" x14ac:dyDescent="0.3"/>
  <cols>
    <col min="2" max="2" width="39.44140625" customWidth="1"/>
    <col min="3" max="3" width="64.33203125" customWidth="1"/>
  </cols>
  <sheetData>
    <row r="1" spans="2:3" ht="25.2" customHeight="1" x14ac:dyDescent="0.3"/>
    <row r="2" spans="2:3" ht="9.6" customHeight="1" x14ac:dyDescent="0.3"/>
    <row r="5" spans="2:3" ht="18" x14ac:dyDescent="0.35">
      <c r="C5" s="55"/>
    </row>
    <row r="6" spans="2:3" x14ac:dyDescent="0.3">
      <c r="B6" s="54" t="s">
        <v>60</v>
      </c>
    </row>
    <row r="7" spans="2:3" x14ac:dyDescent="0.3">
      <c r="B7" t="s">
        <v>45</v>
      </c>
      <c r="C7" s="49" cm="1">
        <f t="array" ref="C7">CountValueWithColumnACondition("w(0)", "Irek")</f>
        <v>15</v>
      </c>
    </row>
    <row r="8" spans="2:3" x14ac:dyDescent="0.3">
      <c r="B8" t="s">
        <v>46</v>
      </c>
      <c r="C8" cm="1">
        <f t="array" ref="C8">CountValueWithColumnACondition("w(0)", "Marcin")</f>
        <v>6</v>
      </c>
    </row>
    <row r="9" spans="2:3" x14ac:dyDescent="0.3">
      <c r="B9" t="s">
        <v>47</v>
      </c>
      <c r="C9" cm="1">
        <f t="array" ref="C9">CountValueWithColumnACondition("w(0)", "Rysiek")</f>
        <v>17</v>
      </c>
    </row>
    <row r="10" spans="2:3" x14ac:dyDescent="0.3">
      <c r="B10" t="s">
        <v>75</v>
      </c>
      <c r="C10" cm="1">
        <f t="array" ref="C10">CountValueWithColumnACondition("w(0)", "Piotr")</f>
        <v>7</v>
      </c>
    </row>
    <row r="11" spans="2:3" x14ac:dyDescent="0.3">
      <c r="B11" s="54" t="s">
        <v>61</v>
      </c>
    </row>
    <row r="12" spans="2:3" x14ac:dyDescent="0.3">
      <c r="B12" s="50" t="s">
        <v>40</v>
      </c>
      <c r="C12" cm="1">
        <f t="array" ref="C12">CountValueWithColumnACondition("w(15)", "Irek")</f>
        <v>17</v>
      </c>
    </row>
    <row r="13" spans="2:3" x14ac:dyDescent="0.3">
      <c r="B13" s="50" t="s">
        <v>41</v>
      </c>
      <c r="C13" cm="1">
        <f t="array" ref="C13">CountValueWithColumnACondition("w(15)", "Marcin")</f>
        <v>11</v>
      </c>
    </row>
    <row r="14" spans="2:3" x14ac:dyDescent="0.3">
      <c r="B14" s="50" t="s">
        <v>42</v>
      </c>
      <c r="C14" cm="1">
        <f t="array" ref="C14">CountValueWithColumnACondition("w(15)", "Rysiek")</f>
        <v>21</v>
      </c>
    </row>
    <row r="15" spans="2:3" x14ac:dyDescent="0.3">
      <c r="B15" s="89" t="s">
        <v>76</v>
      </c>
      <c r="C15" cm="1">
        <f t="array" ref="C15">CountValueWithColumnACondition("w(15)", "Piotr")</f>
        <v>14</v>
      </c>
    </row>
    <row r="16" spans="2:3" x14ac:dyDescent="0.3">
      <c r="B16" s="54" t="s">
        <v>62</v>
      </c>
    </row>
    <row r="17" spans="1:14" x14ac:dyDescent="0.3">
      <c r="B17" s="50" t="s">
        <v>37</v>
      </c>
      <c r="C17" cm="1">
        <f t="array" ref="C17">CountValueWithColumnACondition("w(30)", "Irek")</f>
        <v>26</v>
      </c>
    </row>
    <row r="18" spans="1:14" x14ac:dyDescent="0.3">
      <c r="B18" s="50" t="s">
        <v>38</v>
      </c>
      <c r="C18" cm="1">
        <f t="array" ref="C18">CountValueWithColumnACondition("w(30)", "Marcin")</f>
        <v>12</v>
      </c>
    </row>
    <row r="19" spans="1:14" x14ac:dyDescent="0.3">
      <c r="B19" s="50" t="s">
        <v>39</v>
      </c>
      <c r="C19" s="34" cm="1">
        <f t="array" ref="C19">CountValueWithColumnACondition("w(30)", "Rysiek")</f>
        <v>25</v>
      </c>
    </row>
    <row r="20" spans="1:14" x14ac:dyDescent="0.3">
      <c r="B20" s="89" t="s">
        <v>77</v>
      </c>
      <c r="C20" s="34" cm="1">
        <f t="array" ref="C20">CountValueWithColumnACondition("w(30)", "Piotr")</f>
        <v>23</v>
      </c>
    </row>
    <row r="21" spans="1:14" x14ac:dyDescent="0.3">
      <c r="B21" s="54" t="s">
        <v>63</v>
      </c>
    </row>
    <row r="22" spans="1:14" x14ac:dyDescent="0.3">
      <c r="B22" s="50" t="s">
        <v>36</v>
      </c>
      <c r="C22" cm="1">
        <f t="array" ref="C22">CountValueWithColumnACondition("w(z)", "Irek")</f>
        <v>25</v>
      </c>
    </row>
    <row r="23" spans="1:14" x14ac:dyDescent="0.3">
      <c r="B23" s="50" t="s">
        <v>43</v>
      </c>
      <c r="C23" cm="1">
        <f t="array" ref="C23">CountValueWithColumnACondition("w(z)", "Marcin")</f>
        <v>19</v>
      </c>
    </row>
    <row r="24" spans="1:14" x14ac:dyDescent="0.3">
      <c r="B24" s="50" t="s">
        <v>44</v>
      </c>
      <c r="C24" cm="1">
        <f t="array" ref="C24">CountValueWithColumnACondition("w(z)", "Rysiek")</f>
        <v>23</v>
      </c>
    </row>
    <row r="25" spans="1:14" x14ac:dyDescent="0.3">
      <c r="B25" s="89" t="s">
        <v>78</v>
      </c>
      <c r="C25" cm="1">
        <f t="array" ref="C25">CountValueWithColumnACondition("w(z)", "Piotr")</f>
        <v>11</v>
      </c>
    </row>
    <row r="26" spans="1:14" x14ac:dyDescent="0.3">
      <c r="B26" s="54" t="s">
        <v>64</v>
      </c>
    </row>
    <row r="27" spans="1:14" x14ac:dyDescent="0.3">
      <c r="A27" s="87"/>
      <c r="B27" s="53" t="s">
        <v>7</v>
      </c>
      <c r="C27">
        <f>SUM(C7,C12,C17,C22)</f>
        <v>83</v>
      </c>
      <c r="F27" s="87"/>
    </row>
    <row r="28" spans="1:14" x14ac:dyDescent="0.3">
      <c r="A28" s="87"/>
      <c r="B28" s="53" t="s">
        <v>8</v>
      </c>
      <c r="C28">
        <f>SUM(C8,C13,C18,C23)</f>
        <v>48</v>
      </c>
      <c r="N28" s="111" t="s">
        <v>82</v>
      </c>
    </row>
    <row r="29" spans="1:14" x14ac:dyDescent="0.3">
      <c r="B29" s="53" t="s">
        <v>6</v>
      </c>
      <c r="C29">
        <f>SUM(C9,C14,C19,C24)</f>
        <v>86</v>
      </c>
    </row>
    <row r="30" spans="1:14" x14ac:dyDescent="0.3">
      <c r="B30" s="89" t="s">
        <v>67</v>
      </c>
      <c r="C30">
        <f>SUM(C10,C15,C20,C25)</f>
        <v>55</v>
      </c>
    </row>
    <row r="31" spans="1:14" x14ac:dyDescent="0.3">
      <c r="B31" s="54" t="s">
        <v>65</v>
      </c>
    </row>
    <row r="32" spans="1:14" x14ac:dyDescent="0.3">
      <c r="B32" s="52" t="s">
        <v>48</v>
      </c>
      <c r="C32" cm="1">
        <f t="array" ref="C32">CountWins("Irek","Marcin")</f>
        <v>34</v>
      </c>
    </row>
    <row r="33" spans="2:3" x14ac:dyDescent="0.3">
      <c r="B33" s="51" t="s">
        <v>49</v>
      </c>
      <c r="C33" cm="1">
        <f t="array" ref="C33">CountWins("Marcin","Irek")</f>
        <v>24</v>
      </c>
    </row>
    <row r="34" spans="2:3" x14ac:dyDescent="0.3">
      <c r="B34" s="51" t="s">
        <v>52</v>
      </c>
      <c r="C34" cm="1">
        <f t="array" ref="C34">CountWins("Marcin","Rysiek")</f>
        <v>20</v>
      </c>
    </row>
    <row r="35" spans="2:3" x14ac:dyDescent="0.3">
      <c r="B35" s="51" t="s">
        <v>53</v>
      </c>
      <c r="C35" cm="1">
        <f t="array" ref="C35">CountWins("Rysiek","Marcin")</f>
        <v>38</v>
      </c>
    </row>
    <row r="36" spans="2:3" x14ac:dyDescent="0.3">
      <c r="B36" s="51" t="s">
        <v>50</v>
      </c>
      <c r="C36" cm="1">
        <f t="array" ref="C36">CountWins("Irek","Rysiek")</f>
        <v>31</v>
      </c>
    </row>
    <row r="37" spans="2:3" x14ac:dyDescent="0.3">
      <c r="B37" s="51" t="s">
        <v>51</v>
      </c>
      <c r="C37" cm="1">
        <f t="array" ref="C37">CountWins("Rysiek","Irek")</f>
        <v>36</v>
      </c>
    </row>
    <row r="38" spans="2:3" x14ac:dyDescent="0.3">
      <c r="B38" s="88" t="s">
        <v>69</v>
      </c>
      <c r="C38" cm="1">
        <f t="array" ref="C38">CountWins("Irek","Piotr")</f>
        <v>18</v>
      </c>
    </row>
    <row r="39" spans="2:3" x14ac:dyDescent="0.3">
      <c r="B39" s="88" t="s">
        <v>70</v>
      </c>
      <c r="C39" cm="1">
        <f t="array" ref="C39">CountWins("Piotr","Irek")</f>
        <v>16</v>
      </c>
    </row>
    <row r="40" spans="2:3" x14ac:dyDescent="0.3">
      <c r="B40" s="88" t="s">
        <v>71</v>
      </c>
      <c r="C40" cm="1">
        <f t="array" ref="C40">CountWins("MArcin","Piotr")</f>
        <v>4</v>
      </c>
    </row>
    <row r="41" spans="2:3" x14ac:dyDescent="0.3">
      <c r="B41" s="88" t="s">
        <v>72</v>
      </c>
      <c r="C41" cm="1">
        <f t="array" ref="C41">CountWins("Piotr","Marcin")</f>
        <v>18</v>
      </c>
    </row>
    <row r="42" spans="2:3" x14ac:dyDescent="0.3">
      <c r="B42" s="88" t="s">
        <v>73</v>
      </c>
      <c r="C42" cm="1">
        <f t="array" ref="C42">CountWins("Rysiek","Piotr")</f>
        <v>13</v>
      </c>
    </row>
    <row r="43" spans="2:3" x14ac:dyDescent="0.3">
      <c r="B43" s="88" t="s">
        <v>74</v>
      </c>
      <c r="C43" cm="1">
        <f t="array" ref="C43">CountWins("Piotr","Rysiek")</f>
        <v>21</v>
      </c>
    </row>
    <row r="44" spans="2:3" x14ac:dyDescent="0.3">
      <c r="B44" s="88"/>
    </row>
    <row r="45" spans="2:3" x14ac:dyDescent="0.3">
      <c r="B45" s="54" t="s">
        <v>81</v>
      </c>
    </row>
    <row r="46" spans="2:3" x14ac:dyDescent="0.3">
      <c r="B46" s="59" t="s">
        <v>54</v>
      </c>
      <c r="C46" cm="1">
        <f t="array" ref="C46">CountCellsStartingWithWwhereColumnSorO("Irek","s")</f>
        <v>46</v>
      </c>
    </row>
    <row r="47" spans="2:3" x14ac:dyDescent="0.3">
      <c r="B47" s="53" t="s">
        <v>55</v>
      </c>
      <c r="C47" cm="1">
        <f t="array" ref="C47">CountCellsStartingWithWwhereColumnSorO("Irek","o")</f>
        <v>37</v>
      </c>
    </row>
    <row r="48" spans="2:3" x14ac:dyDescent="0.3">
      <c r="B48" s="53" t="s">
        <v>56</v>
      </c>
      <c r="C48" cm="1">
        <f t="array" ref="C48">CountCellsStartingWithWwhereColumnSorO("Rysiek","s")</f>
        <v>48</v>
      </c>
    </row>
    <row r="49" spans="2:3" x14ac:dyDescent="0.3">
      <c r="B49" s="53" t="s">
        <v>57</v>
      </c>
      <c r="C49" cm="1">
        <f t="array" ref="C49">CountCellsStartingWithWwhereColumnSorO("Rysiek","o")</f>
        <v>39</v>
      </c>
    </row>
    <row r="50" spans="2:3" x14ac:dyDescent="0.3">
      <c r="B50" s="53" t="s">
        <v>58</v>
      </c>
      <c r="C50" cm="1">
        <f t="array" ref="C50">CountCellsStartingWithWwhereColumnSorO("Marcin","s")</f>
        <v>29</v>
      </c>
    </row>
    <row r="51" spans="2:3" x14ac:dyDescent="0.3">
      <c r="B51" s="53" t="s">
        <v>59</v>
      </c>
      <c r="C51" cm="1">
        <f t="array" ref="C51">CountCellsStartingWithWwhereColumnSorO("Marcin","o")</f>
        <v>19</v>
      </c>
    </row>
    <row r="52" spans="2:3" x14ac:dyDescent="0.3">
      <c r="B52" s="89" t="s">
        <v>79</v>
      </c>
      <c r="C52" cm="1">
        <f t="array" ref="C52">CountCellsStartingWithWwhereColumnSorO("Piotr","s")</f>
        <v>26</v>
      </c>
    </row>
    <row r="53" spans="2:3" x14ac:dyDescent="0.3">
      <c r="B53" s="89" t="s">
        <v>80</v>
      </c>
      <c r="C53" cm="1">
        <f t="array" ref="C53">CountCellsStartingWithWwhereColumnSorO("Piotr","o")</f>
        <v>29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160020</xdr:rowOff>
                  </from>
                  <to>
                    <xdr:col>9</xdr:col>
                    <xdr:colOff>403860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7" width="12.33203125" style="37" customWidth="1"/>
    <col min="8" max="8" width="14" style="37" customWidth="1"/>
    <col min="9" max="26" width="8.6640625" style="37" customWidth="1"/>
    <col min="27" max="16384" width="14.44140625" style="37"/>
  </cols>
  <sheetData>
    <row r="2" spans="1:8" ht="36.6" x14ac:dyDescent="0.4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4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4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4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4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4">
      <c r="A7" s="42"/>
      <c r="B7" s="42"/>
      <c r="C7" s="42"/>
      <c r="D7" s="42"/>
      <c r="E7" s="42"/>
      <c r="F7" s="42"/>
      <c r="G7" s="42"/>
      <c r="H7" s="43"/>
    </row>
    <row r="8" spans="1:8" ht="21" x14ac:dyDescent="0.4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4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4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4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4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4">
      <c r="A13" s="42"/>
      <c r="B13" s="42"/>
      <c r="C13" s="42"/>
      <c r="D13" s="42"/>
      <c r="E13" s="42"/>
      <c r="F13" s="42"/>
      <c r="G13" s="42"/>
      <c r="H13" s="43"/>
    </row>
    <row r="14" spans="1:8" ht="21" x14ac:dyDescent="0.4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4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4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4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4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4">
      <c r="A19" s="42"/>
      <c r="B19" s="42"/>
      <c r="C19" s="42"/>
      <c r="D19" s="42"/>
      <c r="E19" s="42"/>
      <c r="F19" s="42"/>
      <c r="G19" s="42"/>
      <c r="H19" s="43"/>
    </row>
    <row r="20" spans="1:26" ht="21" x14ac:dyDescent="0.4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4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4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4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4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4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4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4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4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4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4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4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4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4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4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4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4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4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4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4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3"/>
    <row r="41" spans="1:26" ht="15.75" customHeight="1" x14ac:dyDescent="0.4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4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4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4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4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4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4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4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4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4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4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4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4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4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4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4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4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4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4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4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4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4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4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4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4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4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4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4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4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4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4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4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4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4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3"/>
    <row r="76" spans="1:8" ht="15.75" customHeight="1" x14ac:dyDescent="0.4">
      <c r="A76" s="39" t="s">
        <v>33</v>
      </c>
      <c r="B76" s="35"/>
      <c r="C76" s="115">
        <f>SUMIF($A$2:$A$65,"Irek",$H$2:$H$74)</f>
        <v>0</v>
      </c>
      <c r="D76" s="116"/>
      <c r="E76" s="116"/>
      <c r="F76" s="116"/>
      <c r="G76" s="116"/>
      <c r="H76" s="117"/>
    </row>
    <row r="77" spans="1:8" ht="15.75" customHeight="1" x14ac:dyDescent="0.4">
      <c r="A77" s="39" t="s">
        <v>34</v>
      </c>
      <c r="B77" s="35"/>
      <c r="C77" s="115">
        <f>SUMIF($A$2:$A$65,"Marcin",$H$2:$H$74)</f>
        <v>0</v>
      </c>
      <c r="D77" s="116"/>
      <c r="E77" s="116"/>
      <c r="F77" s="116"/>
      <c r="G77" s="116"/>
      <c r="H77" s="117"/>
    </row>
    <row r="78" spans="1:8" ht="15.75" customHeight="1" x14ac:dyDescent="0.4">
      <c r="A78" s="39" t="s">
        <v>35</v>
      </c>
      <c r="B78" s="35"/>
      <c r="C78" s="115">
        <f>SUMIF($A$2:$A$65,"Rysiek",$H$2:$H$74)</f>
        <v>0</v>
      </c>
      <c r="D78" s="116"/>
      <c r="E78" s="116"/>
      <c r="F78" s="116"/>
      <c r="G78" s="116"/>
      <c r="H78" s="117"/>
    </row>
    <row r="79" spans="1:8" ht="15.75" customHeight="1" x14ac:dyDescent="0.3"/>
    <row r="80" spans="1:8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4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4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4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" customHeight="1" x14ac:dyDescent="0.4">
      <c r="A52" s="69" t="s">
        <v>33</v>
      </c>
      <c r="B52" s="63"/>
      <c r="C52" s="118">
        <f>SUMIF($A$2:$A$50,"Irek",$N$2:$N$50)</f>
        <v>0</v>
      </c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20"/>
    </row>
    <row r="53" spans="1:32" ht="21" x14ac:dyDescent="0.4">
      <c r="A53" s="69" t="s">
        <v>34</v>
      </c>
      <c r="B53" s="63"/>
      <c r="C53" s="118">
        <f>SUMIF($A$2:$A$50,"Marcin",$N$2:$N$50)</f>
        <v>0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20"/>
    </row>
    <row r="54" spans="1:32" ht="21" x14ac:dyDescent="0.4">
      <c r="A54" s="69" t="s">
        <v>35</v>
      </c>
      <c r="B54" s="63"/>
      <c r="C54" s="118">
        <f>SUMIF($A$2:$A$50,"Rysiek",$N$2:$N$50)</f>
        <v>0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20"/>
    </row>
    <row r="55" spans="1:32" ht="21" x14ac:dyDescent="0.4">
      <c r="A55" s="69" t="s">
        <v>68</v>
      </c>
      <c r="B55" s="86"/>
      <c r="C55" s="118">
        <f>SUMIF($A$2:$A$50,"Piotr",$N$2:$N$50)</f>
        <v>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20"/>
    </row>
    <row r="56" spans="1:32" ht="15.75" customHeight="1" x14ac:dyDescent="0.3"/>
    <row r="57" spans="1:32" ht="15.75" customHeight="1" x14ac:dyDescent="0.3"/>
    <row r="58" spans="1:32" ht="15.75" customHeight="1" x14ac:dyDescent="0.3"/>
    <row r="59" spans="1:32" ht="15.75" customHeight="1" x14ac:dyDescent="0.3"/>
    <row r="60" spans="1:32" ht="15.75" customHeight="1" x14ac:dyDescent="0.3"/>
    <row r="61" spans="1:32" ht="15.75" customHeight="1" x14ac:dyDescent="0.3"/>
    <row r="62" spans="1:32" ht="15.75" customHeight="1" x14ac:dyDescent="0.3"/>
    <row r="63" spans="1:32" ht="15.75" customHeight="1" x14ac:dyDescent="0.3"/>
    <row r="64" spans="1:32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4.4" x14ac:dyDescent="0.3"/>
  <cols>
    <col min="2" max="2" width="16.44140625" customWidth="1"/>
  </cols>
  <sheetData>
    <row r="4" spans="2:2" x14ac:dyDescent="0.3">
      <c r="B4" t="str" cm="1">
        <f t="array" ref="B4:B18">ListSheetNames()</f>
        <v>Pula</v>
      </c>
    </row>
    <row r="5" spans="2:2" x14ac:dyDescent="0.3">
      <c r="B5" t="str">
        <v>Wyniki</v>
      </c>
    </row>
    <row r="6" spans="2:2" x14ac:dyDescent="0.3">
      <c r="B6" t="str">
        <v>Podsumowanie</v>
      </c>
    </row>
    <row r="7" spans="2:2" x14ac:dyDescent="0.3">
      <c r="B7" t="str">
        <v>prot_wzór</v>
      </c>
    </row>
    <row r="8" spans="2:2" x14ac:dyDescent="0.3">
      <c r="B8" t="str">
        <v>prot_wzór_4</v>
      </c>
    </row>
    <row r="9" spans="2:2" x14ac:dyDescent="0.3">
      <c r="B9" t="str">
        <v>Ilość rund</v>
      </c>
    </row>
    <row r="10" spans="2:2" x14ac:dyDescent="0.3">
      <c r="B10" t="str">
        <v>prot_04_01_26</v>
      </c>
    </row>
    <row r="11" spans="2:2" x14ac:dyDescent="0.3">
      <c r="B11" t="str">
        <v>prot_11_01_26</v>
      </c>
    </row>
    <row r="12" spans="2:2" x14ac:dyDescent="0.3">
      <c r="B12" t="str">
        <v>prot_25_01_26</v>
      </c>
    </row>
    <row r="13" spans="2:2" x14ac:dyDescent="0.3">
      <c r="B13" t="str">
        <v>prot_01_03_26</v>
      </c>
    </row>
    <row r="14" spans="2:2" x14ac:dyDescent="0.3">
      <c r="B14" t="str">
        <v>prot_08_03_26</v>
      </c>
    </row>
    <row r="15" spans="2:2" x14ac:dyDescent="0.3">
      <c r="B15" t="str">
        <v>prot_15_03_26</v>
      </c>
    </row>
    <row r="16" spans="2:2" x14ac:dyDescent="0.3">
      <c r="B16" t="str">
        <v>prot_29_03_26</v>
      </c>
    </row>
    <row r="17" spans="2:6" x14ac:dyDescent="0.3">
      <c r="B17" t="str">
        <v>prot_12_04_26</v>
      </c>
    </row>
    <row r="18" spans="2:6" x14ac:dyDescent="0.3">
      <c r="B18" t="str">
        <v>prot_26_04_26</v>
      </c>
    </row>
    <row r="21" spans="2:6" x14ac:dyDescent="0.3">
      <c r="F21" s="88"/>
    </row>
    <row r="24" spans="2:6" x14ac:dyDescent="0.3">
      <c r="F24" s="88"/>
    </row>
    <row r="25" spans="2:6" x14ac:dyDescent="0.3">
      <c r="E25" s="88"/>
    </row>
    <row r="27" spans="2:6" x14ac:dyDescent="0.3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5" customHeight="1" x14ac:dyDescent="0.4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/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4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4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9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/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16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8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12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/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2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13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4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4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4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4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11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14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4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8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12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71" zoomScaleNormal="100" workbookViewId="0">
      <selection activeCell="E77" sqref="E77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0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4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2026-04-25T20:18:31Z</dcterms:modified>
</cp:coreProperties>
</file>