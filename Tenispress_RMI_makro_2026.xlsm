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BEA90A6EFF29305/Tenispress/"/>
    </mc:Choice>
  </mc:AlternateContent>
  <xr:revisionPtr revIDLastSave="90" documentId="13_ncr:1_{01A063F3-997C-4D1C-9898-A98279BCB518}" xr6:coauthVersionLast="47" xr6:coauthVersionMax="47" xr10:uidLastSave="{BADF4CBE-C5D9-4247-8779-4A73D0017B00}"/>
  <bookViews>
    <workbookView xWindow="-120" yWindow="-120" windowWidth="20730" windowHeight="11160" firstSheet="1" activeTab="1" xr2:uid="{00000000-000D-0000-FFFF-FFFF00000000}"/>
  </bookViews>
  <sheets>
    <sheet name="Pula" sheetId="1" r:id="rId1"/>
    <sheet name="Wyniki" sheetId="2" r:id="rId2"/>
    <sheet name="Podsumowanie" sheetId="17" r:id="rId3"/>
    <sheet name="prot_wzór" sheetId="3" r:id="rId4"/>
    <sheet name="prot_wzór_4" sheetId="29" r:id="rId5"/>
    <sheet name="Ilość rund" sheetId="23" r:id="rId6"/>
    <sheet name="prot_04_01_26" sheetId="68" r:id="rId7"/>
    <sheet name="prot_11_01_26" sheetId="69" r:id="rId8"/>
    <sheet name="prot_25_01_26" sheetId="70" r:id="rId9"/>
    <sheet name="prot_01_03_26" sheetId="72" r:id="rId10"/>
    <sheet name="prot_08_03_26" sheetId="73" r:id="rId11"/>
    <sheet name="prot_15_03_26" sheetId="74" r:id="rId12"/>
    <sheet name="prot_29_03_26" sheetId="75" r:id="rId13"/>
    <sheet name="prot_12_04_26" sheetId="76" r:id="rId14"/>
    <sheet name="prot_26_04_26" sheetId="77" r:id="rId15"/>
    <sheet name="prot_29_04_26" sheetId="78" r:id="rId16"/>
    <sheet name="prot_03_05_26" sheetId="79" r:id="rId17"/>
    <sheet name="prot_06_05_26" sheetId="80" r:id="rId18"/>
    <sheet name="prot_10_05_26" sheetId="81" r:id="rId19"/>
    <sheet name="prot_17_05_26" sheetId="82" r:id="rId20"/>
    <sheet name="prot_24_05_26" sheetId="83" r:id="rId21"/>
    <sheet name="prot_07_06_26" sheetId="84" r:id="rId22"/>
    <sheet name="prot_14_06_26" sheetId="85" r:id="rId23"/>
    <sheet name="prot_05_07_26" sheetId="86" r:id="rId24"/>
    <sheet name="prot_19_07_26" sheetId="87" r:id="rId25"/>
    <sheet name="prot_26_07_26" sheetId="88" r:id="rId26"/>
    <sheet name="prot_09_08_26" sheetId="89" r:id="rId27"/>
    <sheet name="prot_16_08_26" sheetId="90" r:id="rId2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44" i="2" l="1"/>
  <c r="K44" i="2"/>
  <c r="K45" i="2" s="1"/>
  <c r="H44" i="2"/>
  <c r="H45" i="2" s="1"/>
  <c r="E44" i="2"/>
  <c r="N45" i="2"/>
  <c r="L45" i="2"/>
  <c r="I45" i="2"/>
  <c r="F45" i="2"/>
  <c r="E45" i="2"/>
  <c r="C45" i="2"/>
  <c r="N84" i="90"/>
  <c r="N83" i="90"/>
  <c r="N82" i="90"/>
  <c r="N81" i="90"/>
  <c r="N77" i="90"/>
  <c r="N76" i="90"/>
  <c r="N75" i="90"/>
  <c r="N74" i="90"/>
  <c r="N70" i="90"/>
  <c r="N69" i="90"/>
  <c r="N68" i="90"/>
  <c r="N67" i="90"/>
  <c r="N63" i="90"/>
  <c r="N62" i="90"/>
  <c r="N61" i="90"/>
  <c r="N60" i="90"/>
  <c r="N56" i="90"/>
  <c r="N55" i="90"/>
  <c r="N54" i="90"/>
  <c r="N53" i="90"/>
  <c r="N49" i="90"/>
  <c r="N48" i="90"/>
  <c r="N47" i="90"/>
  <c r="N46" i="90"/>
  <c r="N42" i="90"/>
  <c r="N41" i="90"/>
  <c r="N40" i="90"/>
  <c r="N39" i="90"/>
  <c r="N35" i="90"/>
  <c r="N34" i="90"/>
  <c r="N33" i="90"/>
  <c r="N32" i="90"/>
  <c r="N28" i="90"/>
  <c r="N27" i="90"/>
  <c r="N26" i="90"/>
  <c r="N25" i="90"/>
  <c r="N21" i="90"/>
  <c r="N20" i="90"/>
  <c r="N19" i="90"/>
  <c r="N18" i="90"/>
  <c r="N14" i="90"/>
  <c r="N13" i="90"/>
  <c r="N12" i="90"/>
  <c r="N11" i="90"/>
  <c r="N7" i="90"/>
  <c r="N6" i="90"/>
  <c r="N5" i="90"/>
  <c r="C87" i="90" s="1"/>
  <c r="N4" i="90"/>
  <c r="N43" i="2"/>
  <c r="K43" i="2"/>
  <c r="H43" i="2"/>
  <c r="E43" i="2"/>
  <c r="N84" i="89"/>
  <c r="N83" i="89"/>
  <c r="N82" i="89"/>
  <c r="N81" i="89"/>
  <c r="N77" i="89"/>
  <c r="N76" i="89"/>
  <c r="N75" i="89"/>
  <c r="N74" i="89"/>
  <c r="N70" i="89"/>
  <c r="N69" i="89"/>
  <c r="N68" i="89"/>
  <c r="N67" i="89"/>
  <c r="N63" i="89"/>
  <c r="N62" i="89"/>
  <c r="N61" i="89"/>
  <c r="N60" i="89"/>
  <c r="N56" i="89"/>
  <c r="N55" i="89"/>
  <c r="N54" i="89"/>
  <c r="N53" i="89"/>
  <c r="N49" i="89"/>
  <c r="N48" i="89"/>
  <c r="N47" i="89"/>
  <c r="N46" i="89"/>
  <c r="N42" i="89"/>
  <c r="N41" i="89"/>
  <c r="N40" i="89"/>
  <c r="N39" i="89"/>
  <c r="N35" i="89"/>
  <c r="N34" i="89"/>
  <c r="N33" i="89"/>
  <c r="N32" i="89"/>
  <c r="N28" i="89"/>
  <c r="N27" i="89"/>
  <c r="N26" i="89"/>
  <c r="N25" i="89"/>
  <c r="N21" i="89"/>
  <c r="N20" i="89"/>
  <c r="N19" i="89"/>
  <c r="N18" i="89"/>
  <c r="N14" i="89"/>
  <c r="N13" i="89"/>
  <c r="N12" i="89"/>
  <c r="N11" i="89"/>
  <c r="N7" i="89"/>
  <c r="N6" i="89"/>
  <c r="N5" i="89"/>
  <c r="C87" i="89" s="1"/>
  <c r="N4" i="89"/>
  <c r="N42" i="2"/>
  <c r="K42" i="2"/>
  <c r="H42" i="2"/>
  <c r="E42" i="2"/>
  <c r="N84" i="88"/>
  <c r="N83" i="88"/>
  <c r="N82" i="88"/>
  <c r="N81" i="88"/>
  <c r="N77" i="88"/>
  <c r="N76" i="88"/>
  <c r="N75" i="88"/>
  <c r="N74" i="88"/>
  <c r="N70" i="88"/>
  <c r="N69" i="88"/>
  <c r="N68" i="88"/>
  <c r="N67" i="88"/>
  <c r="N63" i="88"/>
  <c r="N62" i="88"/>
  <c r="N61" i="88"/>
  <c r="N60" i="88"/>
  <c r="N56" i="88"/>
  <c r="N55" i="88"/>
  <c r="N54" i="88"/>
  <c r="N53" i="88"/>
  <c r="N49" i="88"/>
  <c r="N48" i="88"/>
  <c r="N47" i="88"/>
  <c r="N46" i="88"/>
  <c r="N42" i="88"/>
  <c r="N41" i="88"/>
  <c r="N40" i="88"/>
  <c r="N39" i="88"/>
  <c r="N35" i="88"/>
  <c r="N34" i="88"/>
  <c r="N33" i="88"/>
  <c r="N32" i="88"/>
  <c r="N28" i="88"/>
  <c r="N27" i="88"/>
  <c r="N26" i="88"/>
  <c r="N25" i="88"/>
  <c r="N21" i="88"/>
  <c r="N20" i="88"/>
  <c r="N19" i="88"/>
  <c r="N18" i="88"/>
  <c r="N14" i="88"/>
  <c r="N13" i="88"/>
  <c r="N12" i="88"/>
  <c r="N11" i="88"/>
  <c r="N7" i="88"/>
  <c r="C89" i="88" s="1"/>
  <c r="N6" i="88"/>
  <c r="N5" i="88"/>
  <c r="C87" i="88" s="1"/>
  <c r="N4" i="88"/>
  <c r="N41" i="2"/>
  <c r="K41" i="2"/>
  <c r="H41" i="2"/>
  <c r="E41" i="2"/>
  <c r="N81" i="87"/>
  <c r="N82" i="87"/>
  <c r="N83" i="87"/>
  <c r="N84" i="87"/>
  <c r="N74" i="87"/>
  <c r="N75" i="87"/>
  <c r="N76" i="87"/>
  <c r="N77" i="87"/>
  <c r="N67" i="87"/>
  <c r="N68" i="87"/>
  <c r="N69" i="87"/>
  <c r="N70" i="87"/>
  <c r="N60" i="87"/>
  <c r="N61" i="87"/>
  <c r="N62" i="87"/>
  <c r="N63" i="87"/>
  <c r="N53" i="87"/>
  <c r="N54" i="87"/>
  <c r="N55" i="87"/>
  <c r="N56" i="87"/>
  <c r="N46" i="87"/>
  <c r="N47" i="87"/>
  <c r="N48" i="87"/>
  <c r="N49" i="87"/>
  <c r="N39" i="87"/>
  <c r="N40" i="87"/>
  <c r="N41" i="87"/>
  <c r="N42" i="87"/>
  <c r="N4" i="87"/>
  <c r="N5" i="87"/>
  <c r="N6" i="87"/>
  <c r="N7" i="87"/>
  <c r="N11" i="87"/>
  <c r="N12" i="87"/>
  <c r="N13" i="87"/>
  <c r="N14" i="87"/>
  <c r="N18" i="87"/>
  <c r="N19" i="87"/>
  <c r="N20" i="87"/>
  <c r="N21" i="87"/>
  <c r="N25" i="87"/>
  <c r="N26" i="87"/>
  <c r="N27" i="87"/>
  <c r="N28" i="87"/>
  <c r="N32" i="87"/>
  <c r="N33" i="87"/>
  <c r="N34" i="87"/>
  <c r="N35" i="87"/>
  <c r="N40" i="2"/>
  <c r="K40" i="2"/>
  <c r="H40" i="2"/>
  <c r="E40" i="2"/>
  <c r="N84" i="86"/>
  <c r="N83" i="86"/>
  <c r="N82" i="86"/>
  <c r="N81" i="86"/>
  <c r="N77" i="86"/>
  <c r="N76" i="86"/>
  <c r="N75" i="86"/>
  <c r="N74" i="86"/>
  <c r="N70" i="86"/>
  <c r="N69" i="86"/>
  <c r="N68" i="86"/>
  <c r="N67" i="86"/>
  <c r="N63" i="86"/>
  <c r="N62" i="86"/>
  <c r="N61" i="86"/>
  <c r="N60" i="86"/>
  <c r="N56" i="86"/>
  <c r="N55" i="86"/>
  <c r="N54" i="86"/>
  <c r="N53" i="86"/>
  <c r="N49" i="86"/>
  <c r="N48" i="86"/>
  <c r="N47" i="86"/>
  <c r="N46" i="86"/>
  <c r="N42" i="86"/>
  <c r="N41" i="86"/>
  <c r="N40" i="86"/>
  <c r="N39" i="86"/>
  <c r="N35" i="86"/>
  <c r="N34" i="86"/>
  <c r="N33" i="86"/>
  <c r="N32" i="86"/>
  <c r="N28" i="86"/>
  <c r="N27" i="86"/>
  <c r="N26" i="86"/>
  <c r="N25" i="86"/>
  <c r="N21" i="86"/>
  <c r="N20" i="86"/>
  <c r="N19" i="86"/>
  <c r="N18" i="86"/>
  <c r="N14" i="86"/>
  <c r="N13" i="86"/>
  <c r="N12" i="86"/>
  <c r="N11" i="86"/>
  <c r="N7" i="86"/>
  <c r="C89" i="86" s="1"/>
  <c r="N6" i="86"/>
  <c r="C88" i="86" s="1"/>
  <c r="N5" i="86"/>
  <c r="C87" i="86" s="1"/>
  <c r="N4" i="86"/>
  <c r="N39" i="2"/>
  <c r="K39" i="2"/>
  <c r="H39" i="2"/>
  <c r="E39" i="2"/>
  <c r="N84" i="85"/>
  <c r="N83" i="85"/>
  <c r="N82" i="85"/>
  <c r="N81" i="85"/>
  <c r="N77" i="85"/>
  <c r="N76" i="85"/>
  <c r="N75" i="85"/>
  <c r="N74" i="85"/>
  <c r="N70" i="85"/>
  <c r="N69" i="85"/>
  <c r="N68" i="85"/>
  <c r="N67" i="85"/>
  <c r="N63" i="85"/>
  <c r="N62" i="85"/>
  <c r="N61" i="85"/>
  <c r="N60" i="85"/>
  <c r="N56" i="85"/>
  <c r="N55" i="85"/>
  <c r="N54" i="85"/>
  <c r="N53" i="85"/>
  <c r="N49" i="85"/>
  <c r="N48" i="85"/>
  <c r="N47" i="85"/>
  <c r="N46" i="85"/>
  <c r="N42" i="85"/>
  <c r="N41" i="85"/>
  <c r="N40" i="85"/>
  <c r="N39" i="85"/>
  <c r="N35" i="85"/>
  <c r="N34" i="85"/>
  <c r="N33" i="85"/>
  <c r="N32" i="85"/>
  <c r="N28" i="85"/>
  <c r="N27" i="85"/>
  <c r="N26" i="85"/>
  <c r="N25" i="85"/>
  <c r="N21" i="85"/>
  <c r="N20" i="85"/>
  <c r="N19" i="85"/>
  <c r="N18" i="85"/>
  <c r="N14" i="85"/>
  <c r="N13" i="85"/>
  <c r="N12" i="85"/>
  <c r="N11" i="85"/>
  <c r="N7" i="85"/>
  <c r="N6" i="85"/>
  <c r="N5" i="85"/>
  <c r="C87" i="85" s="1"/>
  <c r="N4" i="85"/>
  <c r="N38" i="2"/>
  <c r="K38" i="2"/>
  <c r="H38" i="2"/>
  <c r="E38" i="2"/>
  <c r="N84" i="84"/>
  <c r="N83" i="84"/>
  <c r="N82" i="84"/>
  <c r="N81" i="84"/>
  <c r="N77" i="84"/>
  <c r="N76" i="84"/>
  <c r="N75" i="84"/>
  <c r="N74" i="84"/>
  <c r="N70" i="84"/>
  <c r="N69" i="84"/>
  <c r="N68" i="84"/>
  <c r="N67" i="84"/>
  <c r="N63" i="84"/>
  <c r="N62" i="84"/>
  <c r="N61" i="84"/>
  <c r="N60" i="84"/>
  <c r="N56" i="84"/>
  <c r="N55" i="84"/>
  <c r="N54" i="84"/>
  <c r="N53" i="84"/>
  <c r="N49" i="84"/>
  <c r="N48" i="84"/>
  <c r="N47" i="84"/>
  <c r="N46" i="84"/>
  <c r="N42" i="84"/>
  <c r="N41" i="84"/>
  <c r="N40" i="84"/>
  <c r="N39" i="84"/>
  <c r="N35" i="84"/>
  <c r="N34" i="84"/>
  <c r="N33" i="84"/>
  <c r="N32" i="84"/>
  <c r="N28" i="84"/>
  <c r="N27" i="84"/>
  <c r="N26" i="84"/>
  <c r="N25" i="84"/>
  <c r="N21" i="84"/>
  <c r="N20" i="84"/>
  <c r="N19" i="84"/>
  <c r="N18" i="84"/>
  <c r="N14" i="84"/>
  <c r="N13" i="84"/>
  <c r="N12" i="84"/>
  <c r="N11" i="84"/>
  <c r="N7" i="84"/>
  <c r="N6" i="84"/>
  <c r="N5" i="84"/>
  <c r="C87" i="84" s="1"/>
  <c r="N4" i="84"/>
  <c r="N37" i="2"/>
  <c r="K37" i="2"/>
  <c r="H37" i="2"/>
  <c r="E37" i="2"/>
  <c r="N84" i="83"/>
  <c r="N83" i="83"/>
  <c r="N82" i="83"/>
  <c r="N81" i="83"/>
  <c r="N77" i="83"/>
  <c r="N76" i="83"/>
  <c r="N75" i="83"/>
  <c r="N74" i="83"/>
  <c r="N70" i="83"/>
  <c r="N69" i="83"/>
  <c r="N68" i="83"/>
  <c r="N67" i="83"/>
  <c r="N63" i="83"/>
  <c r="N62" i="83"/>
  <c r="N61" i="83"/>
  <c r="N60" i="83"/>
  <c r="N56" i="83"/>
  <c r="N55" i="83"/>
  <c r="N54" i="83"/>
  <c r="N53" i="83"/>
  <c r="N49" i="83"/>
  <c r="N48" i="83"/>
  <c r="N47" i="83"/>
  <c r="N46" i="83"/>
  <c r="N42" i="83"/>
  <c r="N41" i="83"/>
  <c r="N40" i="83"/>
  <c r="N39" i="83"/>
  <c r="N35" i="83"/>
  <c r="N34" i="83"/>
  <c r="N33" i="83"/>
  <c r="N32" i="83"/>
  <c r="N28" i="83"/>
  <c r="N27" i="83"/>
  <c r="N26" i="83"/>
  <c r="N25" i="83"/>
  <c r="N21" i="83"/>
  <c r="N20" i="83"/>
  <c r="N19" i="83"/>
  <c r="N18" i="83"/>
  <c r="N14" i="83"/>
  <c r="N13" i="83"/>
  <c r="N12" i="83"/>
  <c r="N11" i="83"/>
  <c r="N7" i="83"/>
  <c r="N6" i="83"/>
  <c r="N5" i="83"/>
  <c r="C87" i="83" s="1"/>
  <c r="N4" i="83"/>
  <c r="N36" i="2"/>
  <c r="K36" i="2"/>
  <c r="H36" i="2"/>
  <c r="E36" i="2"/>
  <c r="N84" i="82"/>
  <c r="N83" i="82"/>
  <c r="N82" i="82"/>
  <c r="N81" i="82"/>
  <c r="N77" i="82"/>
  <c r="N76" i="82"/>
  <c r="N75" i="82"/>
  <c r="N74" i="82"/>
  <c r="N70" i="82"/>
  <c r="N69" i="82"/>
  <c r="N68" i="82"/>
  <c r="N67" i="82"/>
  <c r="N63" i="82"/>
  <c r="N62" i="82"/>
  <c r="N61" i="82"/>
  <c r="N60" i="82"/>
  <c r="N56" i="82"/>
  <c r="N55" i="82"/>
  <c r="N54" i="82"/>
  <c r="N53" i="82"/>
  <c r="N49" i="82"/>
  <c r="N48" i="82"/>
  <c r="N47" i="82"/>
  <c r="N46" i="82"/>
  <c r="N42" i="82"/>
  <c r="N41" i="82"/>
  <c r="N40" i="82"/>
  <c r="N39" i="82"/>
  <c r="N35" i="82"/>
  <c r="N34" i="82"/>
  <c r="N33" i="82"/>
  <c r="N32" i="82"/>
  <c r="N28" i="82"/>
  <c r="N27" i="82"/>
  <c r="N26" i="82"/>
  <c r="N25" i="82"/>
  <c r="N21" i="82"/>
  <c r="N20" i="82"/>
  <c r="N19" i="82"/>
  <c r="N18" i="82"/>
  <c r="N14" i="82"/>
  <c r="N13" i="82"/>
  <c r="N12" i="82"/>
  <c r="N11" i="82"/>
  <c r="N7" i="82"/>
  <c r="N6" i="82"/>
  <c r="N5" i="82"/>
  <c r="C87" i="82" s="1"/>
  <c r="N4" i="82"/>
  <c r="N35" i="2"/>
  <c r="K35" i="2"/>
  <c r="H35" i="2"/>
  <c r="E35" i="2"/>
  <c r="N84" i="81"/>
  <c r="N83" i="81"/>
  <c r="N82" i="81"/>
  <c r="N81" i="81"/>
  <c r="N77" i="81"/>
  <c r="N76" i="81"/>
  <c r="N75" i="81"/>
  <c r="N74" i="81"/>
  <c r="N70" i="81"/>
  <c r="N69" i="81"/>
  <c r="N68" i="81"/>
  <c r="N67" i="81"/>
  <c r="N63" i="81"/>
  <c r="N62" i="81"/>
  <c r="N61" i="81"/>
  <c r="N60" i="81"/>
  <c r="N56" i="81"/>
  <c r="N55" i="81"/>
  <c r="N54" i="81"/>
  <c r="N53" i="81"/>
  <c r="N49" i="81"/>
  <c r="N48" i="81"/>
  <c r="N47" i="81"/>
  <c r="N46" i="81"/>
  <c r="N42" i="81"/>
  <c r="N41" i="81"/>
  <c r="N40" i="81"/>
  <c r="N39" i="81"/>
  <c r="N35" i="81"/>
  <c r="N34" i="81"/>
  <c r="N33" i="81"/>
  <c r="N32" i="81"/>
  <c r="N28" i="81"/>
  <c r="N27" i="81"/>
  <c r="N26" i="81"/>
  <c r="N25" i="81"/>
  <c r="N21" i="81"/>
  <c r="N20" i="81"/>
  <c r="N19" i="81"/>
  <c r="N18" i="81"/>
  <c r="N14" i="81"/>
  <c r="N13" i="81"/>
  <c r="N12" i="81"/>
  <c r="N11" i="81"/>
  <c r="N7" i="81"/>
  <c r="N6" i="81"/>
  <c r="N5" i="81"/>
  <c r="N4" i="81"/>
  <c r="N34" i="2"/>
  <c r="K34" i="2"/>
  <c r="H34" i="2"/>
  <c r="E34" i="2"/>
  <c r="N84" i="80"/>
  <c r="N83" i="80"/>
  <c r="N82" i="80"/>
  <c r="N81" i="80"/>
  <c r="N77" i="80"/>
  <c r="N76" i="80"/>
  <c r="N75" i="80"/>
  <c r="N74" i="80"/>
  <c r="N70" i="80"/>
  <c r="N69" i="80"/>
  <c r="N68" i="80"/>
  <c r="N67" i="80"/>
  <c r="N63" i="80"/>
  <c r="N62" i="80"/>
  <c r="N61" i="80"/>
  <c r="N60" i="80"/>
  <c r="N56" i="80"/>
  <c r="N55" i="80"/>
  <c r="N54" i="80"/>
  <c r="N53" i="80"/>
  <c r="N49" i="80"/>
  <c r="N48" i="80"/>
  <c r="N47" i="80"/>
  <c r="N46" i="80"/>
  <c r="N42" i="80"/>
  <c r="N41" i="80"/>
  <c r="N40" i="80"/>
  <c r="N39" i="80"/>
  <c r="N35" i="80"/>
  <c r="N34" i="80"/>
  <c r="N33" i="80"/>
  <c r="N32" i="80"/>
  <c r="N28" i="80"/>
  <c r="N27" i="80"/>
  <c r="N26" i="80"/>
  <c r="N25" i="80"/>
  <c r="N21" i="80"/>
  <c r="N20" i="80"/>
  <c r="N19" i="80"/>
  <c r="N18" i="80"/>
  <c r="N14" i="80"/>
  <c r="N13" i="80"/>
  <c r="N12" i="80"/>
  <c r="N11" i="80"/>
  <c r="N7" i="80"/>
  <c r="N6" i="80"/>
  <c r="N5" i="80"/>
  <c r="N4" i="80"/>
  <c r="N33" i="2"/>
  <c r="K33" i="2"/>
  <c r="H33" i="2"/>
  <c r="E33" i="2"/>
  <c r="N81" i="79"/>
  <c r="N82" i="79"/>
  <c r="N83" i="79"/>
  <c r="N84" i="79"/>
  <c r="N74" i="79"/>
  <c r="N75" i="79"/>
  <c r="N76" i="79"/>
  <c r="N77" i="79"/>
  <c r="N67" i="79"/>
  <c r="N68" i="79"/>
  <c r="N69" i="79"/>
  <c r="N70" i="79"/>
  <c r="N60" i="79"/>
  <c r="N61" i="79"/>
  <c r="N62" i="79"/>
  <c r="N63" i="79"/>
  <c r="N53" i="79"/>
  <c r="N54" i="79"/>
  <c r="N55" i="79"/>
  <c r="N56" i="79"/>
  <c r="N46" i="79"/>
  <c r="N47" i="79"/>
  <c r="N48" i="79"/>
  <c r="N49" i="79"/>
  <c r="N39" i="79"/>
  <c r="N40" i="79"/>
  <c r="N41" i="79"/>
  <c r="N42" i="79"/>
  <c r="N11" i="79"/>
  <c r="N12" i="79"/>
  <c r="N13" i="79"/>
  <c r="N14" i="79"/>
  <c r="N18" i="79"/>
  <c r="N19" i="79"/>
  <c r="N20" i="79"/>
  <c r="N21" i="79"/>
  <c r="N25" i="79"/>
  <c r="N26" i="79"/>
  <c r="N27" i="79"/>
  <c r="N28" i="79"/>
  <c r="N32" i="79"/>
  <c r="N33" i="79"/>
  <c r="N34" i="79"/>
  <c r="N35" i="79"/>
  <c r="N4" i="79"/>
  <c r="C86" i="79" s="1"/>
  <c r="N5" i="79"/>
  <c r="C87" i="79" s="1"/>
  <c r="N6" i="79"/>
  <c r="C88" i="79" s="1"/>
  <c r="N7" i="79"/>
  <c r="N32" i="2"/>
  <c r="K32" i="2"/>
  <c r="H32" i="2"/>
  <c r="E32" i="2"/>
  <c r="N84" i="78"/>
  <c r="N83" i="78"/>
  <c r="N82" i="78"/>
  <c r="N81" i="78"/>
  <c r="N77" i="78"/>
  <c r="N76" i="78"/>
  <c r="N75" i="78"/>
  <c r="N74" i="78"/>
  <c r="N70" i="78"/>
  <c r="N69" i="78"/>
  <c r="N68" i="78"/>
  <c r="N67" i="78"/>
  <c r="N63" i="78"/>
  <c r="N62" i="78"/>
  <c r="N61" i="78"/>
  <c r="N60" i="78"/>
  <c r="N56" i="78"/>
  <c r="N55" i="78"/>
  <c r="N54" i="78"/>
  <c r="N53" i="78"/>
  <c r="N49" i="78"/>
  <c r="N48" i="78"/>
  <c r="N47" i="78"/>
  <c r="N46" i="78"/>
  <c r="N42" i="78"/>
  <c r="N41" i="78"/>
  <c r="N40" i="78"/>
  <c r="N39" i="78"/>
  <c r="N35" i="78"/>
  <c r="N34" i="78"/>
  <c r="N33" i="78"/>
  <c r="N32" i="78"/>
  <c r="N28" i="78"/>
  <c r="N27" i="78"/>
  <c r="N26" i="78"/>
  <c r="N25" i="78"/>
  <c r="N21" i="78"/>
  <c r="N20" i="78"/>
  <c r="N19" i="78"/>
  <c r="N18" i="78"/>
  <c r="N14" i="78"/>
  <c r="N13" i="78"/>
  <c r="N12" i="78"/>
  <c r="N11" i="78"/>
  <c r="N7" i="78"/>
  <c r="N6" i="78"/>
  <c r="N5" i="78"/>
  <c r="N4" i="78"/>
  <c r="N31" i="2"/>
  <c r="N30" i="2"/>
  <c r="K31" i="2"/>
  <c r="H31" i="2"/>
  <c r="E31" i="2"/>
  <c r="N84" i="77"/>
  <c r="N83" i="77"/>
  <c r="N82" i="77"/>
  <c r="N81" i="77"/>
  <c r="N77" i="77"/>
  <c r="N76" i="77"/>
  <c r="N75" i="77"/>
  <c r="N74" i="77"/>
  <c r="N70" i="77"/>
  <c r="N69" i="77"/>
  <c r="N68" i="77"/>
  <c r="N67" i="77"/>
  <c r="N63" i="77"/>
  <c r="N62" i="77"/>
  <c r="N61" i="77"/>
  <c r="N60" i="77"/>
  <c r="N56" i="77"/>
  <c r="N55" i="77"/>
  <c r="N54" i="77"/>
  <c r="N53" i="77"/>
  <c r="N49" i="77"/>
  <c r="N48" i="77"/>
  <c r="N47" i="77"/>
  <c r="N46" i="77"/>
  <c r="N42" i="77"/>
  <c r="N41" i="77"/>
  <c r="N40" i="77"/>
  <c r="N39" i="77"/>
  <c r="N35" i="77"/>
  <c r="N34" i="77"/>
  <c r="N33" i="77"/>
  <c r="N32" i="77"/>
  <c r="N28" i="77"/>
  <c r="N27" i="77"/>
  <c r="N26" i="77"/>
  <c r="N25" i="77"/>
  <c r="N21" i="77"/>
  <c r="N20" i="77"/>
  <c r="N19" i="77"/>
  <c r="N18" i="77"/>
  <c r="N14" i="77"/>
  <c r="N13" i="77"/>
  <c r="N12" i="77"/>
  <c r="N11" i="77"/>
  <c r="N7" i="77"/>
  <c r="N6" i="77"/>
  <c r="N5" i="77"/>
  <c r="N4" i="77"/>
  <c r="K30" i="2"/>
  <c r="H30" i="2"/>
  <c r="E30" i="2"/>
  <c r="N84" i="76"/>
  <c r="N83" i="76"/>
  <c r="N82" i="76"/>
  <c r="N81" i="76"/>
  <c r="N77" i="76"/>
  <c r="N76" i="76"/>
  <c r="N75" i="76"/>
  <c r="N74" i="76"/>
  <c r="N70" i="76"/>
  <c r="N69" i="76"/>
  <c r="N68" i="76"/>
  <c r="N67" i="76"/>
  <c r="N63" i="76"/>
  <c r="N62" i="76"/>
  <c r="N61" i="76"/>
  <c r="N60" i="76"/>
  <c r="N56" i="76"/>
  <c r="N55" i="76"/>
  <c r="N54" i="76"/>
  <c r="N53" i="76"/>
  <c r="N49" i="76"/>
  <c r="N48" i="76"/>
  <c r="N47" i="76"/>
  <c r="N46" i="76"/>
  <c r="N42" i="76"/>
  <c r="N41" i="76"/>
  <c r="N40" i="76"/>
  <c r="N39" i="76"/>
  <c r="N35" i="76"/>
  <c r="N34" i="76"/>
  <c r="N33" i="76"/>
  <c r="N32" i="76"/>
  <c r="N28" i="76"/>
  <c r="N27" i="76"/>
  <c r="N26" i="76"/>
  <c r="N25" i="76"/>
  <c r="N21" i="76"/>
  <c r="N20" i="76"/>
  <c r="N19" i="76"/>
  <c r="N18" i="76"/>
  <c r="N14" i="76"/>
  <c r="N13" i="76"/>
  <c r="N12" i="76"/>
  <c r="N11" i="76"/>
  <c r="N7" i="76"/>
  <c r="C89" i="76" s="1"/>
  <c r="N6" i="76"/>
  <c r="C88" i="76" s="1"/>
  <c r="N5" i="76"/>
  <c r="C87" i="76" s="1"/>
  <c r="N4" i="76"/>
  <c r="N29" i="2"/>
  <c r="K29" i="2"/>
  <c r="H29" i="2"/>
  <c r="E29" i="2"/>
  <c r="N84" i="75"/>
  <c r="N83" i="75"/>
  <c r="N82" i="75"/>
  <c r="N81" i="75"/>
  <c r="N77" i="75"/>
  <c r="N76" i="75"/>
  <c r="N75" i="75"/>
  <c r="N74" i="75"/>
  <c r="N70" i="75"/>
  <c r="N69" i="75"/>
  <c r="N68" i="75"/>
  <c r="N67" i="75"/>
  <c r="N63" i="75"/>
  <c r="N62" i="75"/>
  <c r="N61" i="75"/>
  <c r="N60" i="75"/>
  <c r="N56" i="75"/>
  <c r="N55" i="75"/>
  <c r="N54" i="75"/>
  <c r="N53" i="75"/>
  <c r="N49" i="75"/>
  <c r="N48" i="75"/>
  <c r="N47" i="75"/>
  <c r="N46" i="75"/>
  <c r="N42" i="75"/>
  <c r="N41" i="75"/>
  <c r="N40" i="75"/>
  <c r="N39" i="75"/>
  <c r="N35" i="75"/>
  <c r="N34" i="75"/>
  <c r="N33" i="75"/>
  <c r="N32" i="75"/>
  <c r="N28" i="75"/>
  <c r="N27" i="75"/>
  <c r="N26" i="75"/>
  <c r="N25" i="75"/>
  <c r="N21" i="75"/>
  <c r="N20" i="75"/>
  <c r="N19" i="75"/>
  <c r="N18" i="75"/>
  <c r="N14" i="75"/>
  <c r="N13" i="75"/>
  <c r="N12" i="75"/>
  <c r="N11" i="75"/>
  <c r="N7" i="75"/>
  <c r="N6" i="75"/>
  <c r="N5" i="75"/>
  <c r="N4" i="75"/>
  <c r="N28" i="2"/>
  <c r="K28" i="2"/>
  <c r="H28" i="2"/>
  <c r="E28" i="2"/>
  <c r="N84" i="74"/>
  <c r="N83" i="74"/>
  <c r="N82" i="74"/>
  <c r="N81" i="74"/>
  <c r="N77" i="74"/>
  <c r="N76" i="74"/>
  <c r="N75" i="74"/>
  <c r="N74" i="74"/>
  <c r="N70" i="74"/>
  <c r="N69" i="74"/>
  <c r="N68" i="74"/>
  <c r="N67" i="74"/>
  <c r="N63" i="74"/>
  <c r="N62" i="74"/>
  <c r="N61" i="74"/>
  <c r="N60" i="74"/>
  <c r="N56" i="74"/>
  <c r="N55" i="74"/>
  <c r="N54" i="74"/>
  <c r="N53" i="74"/>
  <c r="N49" i="74"/>
  <c r="N48" i="74"/>
  <c r="N47" i="74"/>
  <c r="N46" i="74"/>
  <c r="N42" i="74"/>
  <c r="N41" i="74"/>
  <c r="N40" i="74"/>
  <c r="N39" i="74"/>
  <c r="N35" i="74"/>
  <c r="N34" i="74"/>
  <c r="N33" i="74"/>
  <c r="N32" i="74"/>
  <c r="N28" i="74"/>
  <c r="N27" i="74"/>
  <c r="N26" i="74"/>
  <c r="N25" i="74"/>
  <c r="N21" i="74"/>
  <c r="N20" i="74"/>
  <c r="N19" i="74"/>
  <c r="N18" i="74"/>
  <c r="N14" i="74"/>
  <c r="N13" i="74"/>
  <c r="N12" i="74"/>
  <c r="N11" i="74"/>
  <c r="N7" i="74"/>
  <c r="N6" i="74"/>
  <c r="N5" i="74"/>
  <c r="N4" i="74"/>
  <c r="N27" i="2"/>
  <c r="K27" i="2"/>
  <c r="H27" i="2"/>
  <c r="E27" i="2"/>
  <c r="N84" i="73"/>
  <c r="N83" i="73"/>
  <c r="N82" i="73"/>
  <c r="N81" i="73"/>
  <c r="N77" i="73"/>
  <c r="N76" i="73"/>
  <c r="N75" i="73"/>
  <c r="N74" i="73"/>
  <c r="N70" i="73"/>
  <c r="N69" i="73"/>
  <c r="N68" i="73"/>
  <c r="N67" i="73"/>
  <c r="N63" i="73"/>
  <c r="N62" i="73"/>
  <c r="N61" i="73"/>
  <c r="N60" i="73"/>
  <c r="N56" i="73"/>
  <c r="N55" i="73"/>
  <c r="N54" i="73"/>
  <c r="N53" i="73"/>
  <c r="N49" i="73"/>
  <c r="N48" i="73"/>
  <c r="N47" i="73"/>
  <c r="N46" i="73"/>
  <c r="N42" i="73"/>
  <c r="N41" i="73"/>
  <c r="N40" i="73"/>
  <c r="N39" i="73"/>
  <c r="N35" i="73"/>
  <c r="N34" i="73"/>
  <c r="N33" i="73"/>
  <c r="N32" i="73"/>
  <c r="N28" i="73"/>
  <c r="N27" i="73"/>
  <c r="N26" i="73"/>
  <c r="N25" i="73"/>
  <c r="N21" i="73"/>
  <c r="N20" i="73"/>
  <c r="N19" i="73"/>
  <c r="N18" i="73"/>
  <c r="N14" i="73"/>
  <c r="N13" i="73"/>
  <c r="N12" i="73"/>
  <c r="N11" i="73"/>
  <c r="N7" i="73"/>
  <c r="C89" i="73" s="1"/>
  <c r="N6" i="73"/>
  <c r="N5" i="73"/>
  <c r="N4" i="73"/>
  <c r="N26" i="2"/>
  <c r="K26" i="2"/>
  <c r="H26" i="2"/>
  <c r="E26" i="2"/>
  <c r="N84" i="72"/>
  <c r="N83" i="72"/>
  <c r="N82" i="72"/>
  <c r="N81" i="72"/>
  <c r="N77" i="72"/>
  <c r="N76" i="72"/>
  <c r="N75" i="72"/>
  <c r="N74" i="72"/>
  <c r="N70" i="72"/>
  <c r="N69" i="72"/>
  <c r="N68" i="72"/>
  <c r="N67" i="72"/>
  <c r="N63" i="72"/>
  <c r="N62" i="72"/>
  <c r="N61" i="72"/>
  <c r="N60" i="72"/>
  <c r="N56" i="72"/>
  <c r="N55" i="72"/>
  <c r="N54" i="72"/>
  <c r="N53" i="72"/>
  <c r="N49" i="72"/>
  <c r="N48" i="72"/>
  <c r="N47" i="72"/>
  <c r="N46" i="72"/>
  <c r="N42" i="72"/>
  <c r="N41" i="72"/>
  <c r="N40" i="72"/>
  <c r="N39" i="72"/>
  <c r="N35" i="72"/>
  <c r="N34" i="72"/>
  <c r="N33" i="72"/>
  <c r="N32" i="72"/>
  <c r="N28" i="72"/>
  <c r="N27" i="72"/>
  <c r="N26" i="72"/>
  <c r="N25" i="72"/>
  <c r="N21" i="72"/>
  <c r="N20" i="72"/>
  <c r="N19" i="72"/>
  <c r="N18" i="72"/>
  <c r="N14" i="72"/>
  <c r="N13" i="72"/>
  <c r="N12" i="72"/>
  <c r="N11" i="72"/>
  <c r="N7" i="72"/>
  <c r="N6" i="72"/>
  <c r="N5" i="72"/>
  <c r="N4" i="72"/>
  <c r="N25" i="2"/>
  <c r="K25" i="2"/>
  <c r="H25" i="2"/>
  <c r="E25" i="2"/>
  <c r="N84" i="70"/>
  <c r="N83" i="70"/>
  <c r="N82" i="70"/>
  <c r="N81" i="70"/>
  <c r="N77" i="70"/>
  <c r="N76" i="70"/>
  <c r="N75" i="70"/>
  <c r="N74" i="70"/>
  <c r="N70" i="70"/>
  <c r="N69" i="70"/>
  <c r="N68" i="70"/>
  <c r="N67" i="70"/>
  <c r="N63" i="70"/>
  <c r="N62" i="70"/>
  <c r="N61" i="70"/>
  <c r="N60" i="70"/>
  <c r="N56" i="70"/>
  <c r="N55" i="70"/>
  <c r="N54" i="70"/>
  <c r="N53" i="70"/>
  <c r="N49" i="70"/>
  <c r="N48" i="70"/>
  <c r="N47" i="70"/>
  <c r="N46" i="70"/>
  <c r="N42" i="70"/>
  <c r="N41" i="70"/>
  <c r="N40" i="70"/>
  <c r="N39" i="70"/>
  <c r="N35" i="70"/>
  <c r="N34" i="70"/>
  <c r="N33" i="70"/>
  <c r="N32" i="70"/>
  <c r="N28" i="70"/>
  <c r="N27" i="70"/>
  <c r="N26" i="70"/>
  <c r="N25" i="70"/>
  <c r="N21" i="70"/>
  <c r="N20" i="70"/>
  <c r="N19" i="70"/>
  <c r="N18" i="70"/>
  <c r="N14" i="70"/>
  <c r="N13" i="70"/>
  <c r="N12" i="70"/>
  <c r="N11" i="70"/>
  <c r="N7" i="70"/>
  <c r="C89" i="70" s="1"/>
  <c r="N6" i="70"/>
  <c r="N5" i="70"/>
  <c r="N4" i="70"/>
  <c r="N24" i="2"/>
  <c r="K24" i="2"/>
  <c r="H24" i="2"/>
  <c r="E24" i="2"/>
  <c r="N84" i="69"/>
  <c r="N83" i="69"/>
  <c r="N82" i="69"/>
  <c r="N81" i="69"/>
  <c r="N77" i="69"/>
  <c r="N76" i="69"/>
  <c r="N75" i="69"/>
  <c r="N74" i="69"/>
  <c r="N70" i="69"/>
  <c r="N69" i="69"/>
  <c r="N68" i="69"/>
  <c r="N67" i="69"/>
  <c r="N63" i="69"/>
  <c r="N62" i="69"/>
  <c r="N61" i="69"/>
  <c r="N60" i="69"/>
  <c r="N56" i="69"/>
  <c r="N55" i="69"/>
  <c r="N54" i="69"/>
  <c r="N53" i="69"/>
  <c r="N49" i="69"/>
  <c r="N48" i="69"/>
  <c r="N47" i="69"/>
  <c r="N46" i="69"/>
  <c r="N42" i="69"/>
  <c r="N41" i="69"/>
  <c r="N40" i="69"/>
  <c r="N39" i="69"/>
  <c r="N35" i="69"/>
  <c r="N34" i="69"/>
  <c r="N33" i="69"/>
  <c r="N32" i="69"/>
  <c r="N28" i="69"/>
  <c r="N27" i="69"/>
  <c r="N26" i="69"/>
  <c r="N25" i="69"/>
  <c r="N21" i="69"/>
  <c r="N20" i="69"/>
  <c r="N19" i="69"/>
  <c r="N18" i="69"/>
  <c r="N14" i="69"/>
  <c r="N13" i="69"/>
  <c r="N12" i="69"/>
  <c r="N11" i="69"/>
  <c r="N7" i="69"/>
  <c r="C89" i="69" s="1"/>
  <c r="N6" i="69"/>
  <c r="N5" i="69"/>
  <c r="N4" i="69"/>
  <c r="N23" i="2"/>
  <c r="K23" i="2"/>
  <c r="H23" i="2"/>
  <c r="E23" i="2"/>
  <c r="C88" i="90" l="1"/>
  <c r="C89" i="90"/>
  <c r="C86" i="90"/>
  <c r="C88" i="89"/>
  <c r="C89" i="89"/>
  <c r="C86" i="89"/>
  <c r="C88" i="88"/>
  <c r="C86" i="88"/>
  <c r="C87" i="87"/>
  <c r="C89" i="87"/>
  <c r="C88" i="87"/>
  <c r="C86" i="87"/>
  <c r="C86" i="86"/>
  <c r="C88" i="85"/>
  <c r="C89" i="85"/>
  <c r="C86" i="85"/>
  <c r="C89" i="84"/>
  <c r="C88" i="84"/>
  <c r="C86" i="84"/>
  <c r="C89" i="83"/>
  <c r="C88" i="83"/>
  <c r="C86" i="83"/>
  <c r="C88" i="82"/>
  <c r="C89" i="82"/>
  <c r="C86" i="82"/>
  <c r="C87" i="81"/>
  <c r="C88" i="81"/>
  <c r="C89" i="81"/>
  <c r="C86" i="81"/>
  <c r="C88" i="80"/>
  <c r="C87" i="80"/>
  <c r="C89" i="80"/>
  <c r="C86" i="80"/>
  <c r="C89" i="79"/>
  <c r="C89" i="78"/>
  <c r="C88" i="78"/>
  <c r="C87" i="78"/>
  <c r="C86" i="78"/>
  <c r="C87" i="77"/>
  <c r="C88" i="77"/>
  <c r="C89" i="77"/>
  <c r="C86" i="77"/>
  <c r="C86" i="76"/>
  <c r="C87" i="75"/>
  <c r="C88" i="75"/>
  <c r="C89" i="75"/>
  <c r="C86" i="75"/>
  <c r="C89" i="74"/>
  <c r="C88" i="74"/>
  <c r="C87" i="74"/>
  <c r="C86" i="74"/>
  <c r="C88" i="73"/>
  <c r="C87" i="73"/>
  <c r="C86" i="73"/>
  <c r="C88" i="72"/>
  <c r="C89" i="72"/>
  <c r="C87" i="72"/>
  <c r="C86" i="72"/>
  <c r="C88" i="70"/>
  <c r="C87" i="70"/>
  <c r="C86" i="70"/>
  <c r="C88" i="69"/>
  <c r="C86" i="69"/>
  <c r="C87" i="69"/>
  <c r="N84" i="68"/>
  <c r="N83" i="68"/>
  <c r="N82" i="68"/>
  <c r="N81" i="68"/>
  <c r="N77" i="68"/>
  <c r="N76" i="68"/>
  <c r="N75" i="68"/>
  <c r="N74" i="68"/>
  <c r="N70" i="68"/>
  <c r="N69" i="68"/>
  <c r="N68" i="68"/>
  <c r="N67" i="68"/>
  <c r="N63" i="68"/>
  <c r="N62" i="68"/>
  <c r="N61" i="68"/>
  <c r="N60" i="68"/>
  <c r="N56" i="68"/>
  <c r="N55" i="68"/>
  <c r="N54" i="68"/>
  <c r="N53" i="68"/>
  <c r="N49" i="68"/>
  <c r="N48" i="68"/>
  <c r="N47" i="68"/>
  <c r="N46" i="68"/>
  <c r="N42" i="68"/>
  <c r="N41" i="68"/>
  <c r="N40" i="68"/>
  <c r="N39" i="68"/>
  <c r="N35" i="68"/>
  <c r="N34" i="68"/>
  <c r="N33" i="68"/>
  <c r="N32" i="68"/>
  <c r="N28" i="68"/>
  <c r="N27" i="68"/>
  <c r="N26" i="68"/>
  <c r="N25" i="68"/>
  <c r="N21" i="68"/>
  <c r="N20" i="68"/>
  <c r="N19" i="68"/>
  <c r="N18" i="68"/>
  <c r="N14" i="68"/>
  <c r="N13" i="68"/>
  <c r="N12" i="68"/>
  <c r="N11" i="68"/>
  <c r="N7" i="68"/>
  <c r="N6" i="68"/>
  <c r="N5" i="68"/>
  <c r="N4" i="68"/>
  <c r="C89" i="68" l="1"/>
  <c r="C88" i="68"/>
  <c r="C87" i="68"/>
  <c r="C86" i="68"/>
  <c r="E33" i="1"/>
  <c r="D4" i="1" s="1"/>
  <c r="N49" i="29" l="1"/>
  <c r="N48" i="29"/>
  <c r="N47" i="29"/>
  <c r="N46" i="29"/>
  <c r="N42" i="29"/>
  <c r="N41" i="29"/>
  <c r="N40" i="29"/>
  <c r="N39" i="29"/>
  <c r="N35" i="29"/>
  <c r="N34" i="29"/>
  <c r="N33" i="29"/>
  <c r="N32" i="29"/>
  <c r="N28" i="29"/>
  <c r="N27" i="29"/>
  <c r="N26" i="29"/>
  <c r="N25" i="29"/>
  <c r="N21" i="29"/>
  <c r="N20" i="29"/>
  <c r="N19" i="29"/>
  <c r="N18" i="29"/>
  <c r="N14" i="29"/>
  <c r="N13" i="29"/>
  <c r="N12" i="29"/>
  <c r="N11" i="29"/>
  <c r="N7" i="29"/>
  <c r="N6" i="29"/>
  <c r="N5" i="29"/>
  <c r="N4" i="29"/>
  <c r="C53" i="29" l="1"/>
  <c r="C52" i="29"/>
  <c r="C55" i="29"/>
  <c r="C54" i="29"/>
  <c r="B4" i="23" a="1"/>
  <c r="B4" i="23" l="1"/>
  <c r="H74" i="3" l="1"/>
  <c r="H73" i="3"/>
  <c r="H72" i="3"/>
  <c r="H69" i="3"/>
  <c r="H68" i="3"/>
  <c r="H67" i="3"/>
  <c r="H64" i="3"/>
  <c r="H63" i="3"/>
  <c r="H62" i="3"/>
  <c r="H59" i="3"/>
  <c r="H58" i="3"/>
  <c r="H57" i="3"/>
  <c r="H56" i="3"/>
  <c r="H53" i="3"/>
  <c r="H52" i="3"/>
  <c r="H51" i="3"/>
  <c r="H50" i="3"/>
  <c r="H47" i="3"/>
  <c r="H46" i="3"/>
  <c r="H45" i="3"/>
  <c r="H44" i="3"/>
  <c r="H37" i="3"/>
  <c r="H36" i="3"/>
  <c r="H35" i="3"/>
  <c r="H30" i="3"/>
  <c r="H29" i="3"/>
  <c r="H28" i="3"/>
  <c r="H24" i="3"/>
  <c r="H23" i="3"/>
  <c r="H22" i="3"/>
  <c r="H18" i="3"/>
  <c r="H17" i="3"/>
  <c r="H16" i="3"/>
  <c r="H12" i="3"/>
  <c r="H11" i="3"/>
  <c r="H10" i="3"/>
  <c r="H6" i="3"/>
  <c r="H5" i="3"/>
  <c r="H4" i="3"/>
  <c r="C76" i="3" l="1"/>
  <c r="C78" i="3"/>
  <c r="C77" i="3"/>
  <c r="C53" i="17" a="1"/>
  <c r="C48" i="17" a="1"/>
  <c r="C14" i="17" a="1"/>
  <c r="C51" i="17" a="1"/>
  <c r="C52" i="17" a="1"/>
  <c r="C19" i="17" a="1"/>
  <c r="C20" i="17" a="1"/>
  <c r="C24" i="17" a="1"/>
  <c r="C10" i="17" a="1"/>
  <c r="C25" i="17" a="1"/>
  <c r="C38" i="17" a="1"/>
  <c r="C9" i="17" a="1"/>
  <c r="C49" i="17" a="1"/>
  <c r="C7" i="17" a="1"/>
  <c r="C50" i="17" a="1"/>
  <c r="C15" i="17" a="1"/>
  <c r="C24" i="17" l="1"/>
  <c r="C19" i="17"/>
  <c r="C14" i="17"/>
  <c r="C9" i="17"/>
  <c r="C53" i="17"/>
  <c r="C52" i="17"/>
  <c r="C51" i="17"/>
  <c r="C50" i="17"/>
  <c r="C49" i="17"/>
  <c r="C48" i="17"/>
  <c r="C25" i="17"/>
  <c r="C20" i="17"/>
  <c r="C15" i="17"/>
  <c r="C10" i="17"/>
  <c r="C7" i="17"/>
  <c r="C38" i="17"/>
  <c r="C42" i="17" a="1"/>
  <c r="C29" i="17" l="1"/>
  <c r="C30" i="17"/>
  <c r="C42" i="17"/>
  <c r="C40" i="17" a="1"/>
  <c r="C40" i="17" l="1"/>
  <c r="C43" i="17" a="1"/>
  <c r="C43" i="17" l="1"/>
  <c r="C41" i="17" a="1"/>
  <c r="C41" i="17" l="1"/>
  <c r="C39" i="17" a="1"/>
  <c r="C39" i="17" l="1"/>
  <c r="C34" i="17" a="1"/>
  <c r="C34" i="17" l="1"/>
  <c r="C35" i="17" a="1"/>
  <c r="C35" i="17" l="1"/>
  <c r="C47" i="17" a="1"/>
  <c r="C47" i="17" l="1"/>
  <c r="C46" i="17" a="1"/>
  <c r="C46" i="17" l="1"/>
  <c r="C36" i="17" a="1"/>
  <c r="C36" i="17" l="1"/>
  <c r="C32" i="17" a="1"/>
  <c r="C32" i="17" l="1"/>
  <c r="C37" i="17" a="1"/>
  <c r="C37" i="17" l="1"/>
  <c r="C33" i="17" a="1"/>
  <c r="C33" i="17" l="1"/>
  <c r="C12" i="17" a="1"/>
  <c r="C12" i="17" l="1"/>
  <c r="C23" i="17" a="1"/>
  <c r="C23" i="17" l="1"/>
  <c r="C13" i="17" a="1"/>
  <c r="C13" i="17" l="1"/>
  <c r="C17" i="17" a="1"/>
  <c r="C17" i="17" l="1"/>
  <c r="C18" i="17" a="1"/>
  <c r="C18" i="17" l="1"/>
  <c r="C22" i="17" a="1"/>
  <c r="C22" i="17" l="1"/>
  <c r="C27" i="17" s="1"/>
  <c r="C8" i="17" a="1"/>
  <c r="C8" i="17" l="1"/>
  <c r="C28" i="1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<sst xmlns="http://schemas.openxmlformats.org/spreadsheetml/2006/main" count="9439" uniqueCount="103">
  <si>
    <t>Pula - nagroda</t>
  </si>
  <si>
    <t>Kwota wyjściowa</t>
  </si>
  <si>
    <t>Razem w puli</t>
  </si>
  <si>
    <t>Data</t>
  </si>
  <si>
    <t>Kto dokłada</t>
  </si>
  <si>
    <t>Kwota</t>
  </si>
  <si>
    <t>Rysiek</t>
  </si>
  <si>
    <t>Irek</t>
  </si>
  <si>
    <t>Marcin</t>
  </si>
  <si>
    <t>miejsce</t>
  </si>
  <si>
    <t>punkty</t>
  </si>
  <si>
    <t>1. Sumujemy liczbę wygranych meczów = ilość piłek tubie lub na rakiecie</t>
  </si>
  <si>
    <t>Uwagi</t>
  </si>
  <si>
    <t>wygrane mecze</t>
  </si>
  <si>
    <t>miejsce w turnieju</t>
  </si>
  <si>
    <t>Razem</t>
  </si>
  <si>
    <t>I runda</t>
  </si>
  <si>
    <t>Razem wygrane</t>
  </si>
  <si>
    <t>serw</t>
  </si>
  <si>
    <t>wynik</t>
  </si>
  <si>
    <t>s</t>
  </si>
  <si>
    <t>o</t>
  </si>
  <si>
    <t>II runda</t>
  </si>
  <si>
    <t>III runda</t>
  </si>
  <si>
    <t>IV runda</t>
  </si>
  <si>
    <t>V runda</t>
  </si>
  <si>
    <t>VI runda</t>
  </si>
  <si>
    <t>VII runda</t>
  </si>
  <si>
    <t>VIII runda</t>
  </si>
  <si>
    <t>IX runda</t>
  </si>
  <si>
    <t>X runda</t>
  </si>
  <si>
    <t>XI runda</t>
  </si>
  <si>
    <t>XII runda</t>
  </si>
  <si>
    <t>Suma Irek</t>
  </si>
  <si>
    <t>Suma Marcin</t>
  </si>
  <si>
    <t>Suma Rysiek</t>
  </si>
  <si>
    <t>Irek_w(z)</t>
  </si>
  <si>
    <t>Irek_w(30)</t>
  </si>
  <si>
    <t>Marcin_w(30)</t>
  </si>
  <si>
    <t>Rysiek_w(30)</t>
  </si>
  <si>
    <t>Irek_w(15)</t>
  </si>
  <si>
    <t>Marcin_w(15)</t>
  </si>
  <si>
    <t>Rysiek_w(15)</t>
  </si>
  <si>
    <t>Marcin_w(z)</t>
  </si>
  <si>
    <t>Rysiek_w(z)</t>
  </si>
  <si>
    <t>Irek_w(0)</t>
  </si>
  <si>
    <t>Marcin_w(0)</t>
  </si>
  <si>
    <t>Rysiek_w(0)</t>
  </si>
  <si>
    <t>Irek - Marcin</t>
  </si>
  <si>
    <t>Marcin - Irek</t>
  </si>
  <si>
    <t>Irek-Rysiek</t>
  </si>
  <si>
    <t>Rysiek-Irek</t>
  </si>
  <si>
    <t>Marcin-Rysiek</t>
  </si>
  <si>
    <t>Rysiek-Marcin</t>
  </si>
  <si>
    <t>Irek (s)</t>
  </si>
  <si>
    <t>Irek(o)</t>
  </si>
  <si>
    <t>Rysiek(s)</t>
  </si>
  <si>
    <t>Rysiek(o)</t>
  </si>
  <si>
    <t>Marcin(s)</t>
  </si>
  <si>
    <t>Marcin(o)</t>
  </si>
  <si>
    <t>Zwycięstwa do 0</t>
  </si>
  <si>
    <t>Zwycięstwa do 15</t>
  </si>
  <si>
    <t>Zwycięstwa do 30</t>
  </si>
  <si>
    <t>Złota piłka</t>
  </si>
  <si>
    <t>Zwycięstwa razem</t>
  </si>
  <si>
    <t>Bilans zwycięstw jeden na jeden</t>
  </si>
  <si>
    <t>ND</t>
  </si>
  <si>
    <t>Piotr</t>
  </si>
  <si>
    <t>Suma Piotr</t>
  </si>
  <si>
    <t>Irek-Piotr</t>
  </si>
  <si>
    <t>Piotr-Irek</t>
  </si>
  <si>
    <t>Marcin-Piotr</t>
  </si>
  <si>
    <t>Piotr-Marcin</t>
  </si>
  <si>
    <t>Rysiek-Piotr</t>
  </si>
  <si>
    <t>Piotr-Rysiek</t>
  </si>
  <si>
    <t>Piotr_w(0)</t>
  </si>
  <si>
    <t>Piotr_w(15)</t>
  </si>
  <si>
    <t>Piotr_w(30)</t>
  </si>
  <si>
    <t>Piotr_w(z)</t>
  </si>
  <si>
    <t>Piotr(s)</t>
  </si>
  <si>
    <t>Piotr(o)</t>
  </si>
  <si>
    <t>Bilans zwycięstw przy serwach lub odbiorach</t>
  </si>
  <si>
    <t xml:space="preserve"> </t>
  </si>
  <si>
    <t>w(30)</t>
  </si>
  <si>
    <t>w(0)</t>
  </si>
  <si>
    <t>w(15)</t>
  </si>
  <si>
    <t>w(z)</t>
  </si>
  <si>
    <t>2. Za zwyciętwo w turnieju dodajemy punkty: 1 miejsce:7 pkt 2 miejsce:5pkt , 3 miejsce:`3pkt 4 miejsce 1 pkt
w przypadku remisu na dowlnej pozycji obniżamy punkty o 1 jeśli 2 osby są na tej samej pozycji lub o 2 jeśli trxyosoby są natej samej pozycji lub o 3 jesli 4 osoby uzusylały ten sam wynik</t>
  </si>
  <si>
    <t>3. Jeśli jedna osoba nie przyjdzie to ma 0</t>
  </si>
  <si>
    <t>1,,2</t>
  </si>
  <si>
    <t>2,,3</t>
  </si>
  <si>
    <t>3,,4</t>
  </si>
  <si>
    <t>1,,2,,3</t>
  </si>
  <si>
    <t>2,,3,,4</t>
  </si>
  <si>
    <t>1,,2,,3,,4</t>
  </si>
  <si>
    <r>
      <rPr>
        <b/>
        <sz val="24"/>
        <color theme="1"/>
        <rFont val="Calibri"/>
        <family val="2"/>
        <charset val="238"/>
      </rPr>
      <t>RANKING TENISPRESS KORTOWO 2025</t>
    </r>
    <r>
      <rPr>
        <sz val="24"/>
        <color theme="1"/>
        <rFont val="Calibri"/>
        <family val="2"/>
        <charset val="238"/>
      </rPr>
      <t xml:space="preserve">
(</t>
    </r>
    <r>
      <rPr>
        <sz val="24"/>
        <color rgb="FFFF0000"/>
        <rFont val="Calibri"/>
        <family val="2"/>
        <charset val="238"/>
      </rPr>
      <t>R</t>
    </r>
    <r>
      <rPr>
        <sz val="24"/>
        <color theme="1"/>
        <rFont val="Calibri"/>
        <family val="2"/>
        <charset val="238"/>
      </rPr>
      <t xml:space="preserve">YSIEK, </t>
    </r>
    <r>
      <rPr>
        <sz val="24"/>
        <color rgb="FFFF0000"/>
        <rFont val="Calibri"/>
        <family val="2"/>
        <charset val="238"/>
      </rPr>
      <t>M</t>
    </r>
    <r>
      <rPr>
        <sz val="24"/>
        <color theme="1"/>
        <rFont val="Calibri"/>
        <family val="2"/>
        <charset val="238"/>
      </rPr>
      <t xml:space="preserve">ARCIN, </t>
    </r>
    <r>
      <rPr>
        <sz val="24"/>
        <color rgb="FFFF0000"/>
        <rFont val="Calibri"/>
        <family val="2"/>
        <charset val="238"/>
      </rPr>
      <t>I</t>
    </r>
    <r>
      <rPr>
        <sz val="24"/>
        <color theme="1"/>
        <rFont val="Calibri"/>
        <family val="2"/>
        <charset val="238"/>
      </rPr>
      <t>REK,</t>
    </r>
    <r>
      <rPr>
        <sz val="24"/>
        <color rgb="FFFF0000"/>
        <rFont val="Calibri"/>
        <family val="2"/>
        <charset val="238"/>
      </rPr>
      <t>P</t>
    </r>
    <r>
      <rPr>
        <sz val="24"/>
        <color theme="1"/>
        <rFont val="Calibri"/>
        <family val="2"/>
        <charset val="238"/>
      </rPr>
      <t>IOTR)</t>
    </r>
  </si>
  <si>
    <t>Arkusz</t>
  </si>
  <si>
    <t>Tabela wyników</t>
  </si>
  <si>
    <t>miejsce  turnieju</t>
  </si>
  <si>
    <t>miejsce turnieju</t>
  </si>
  <si>
    <t>w30)</t>
  </si>
  <si>
    <t xml:space="preserve">  </t>
  </si>
  <si>
    <t>w(40)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</si>
</sst>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#,##0\ &quot;zł&quot;;[Red]\-#,##0\ &quot;zł&quot;"/>
    <numFmt numFmtId="164" formatCode="#,##0\ &quot;zł&quot;;[Red]#,##0\ &quot;zł&quot;"/>
    <numFmt numFmtId="165" formatCode="#,##0.00\ &quot;zł&quot;;[Red]#,##0.00\ &quot;zł&quot;"/>
    <numFmt numFmtId="166" formatCode="#,##0&quot;zł&quot;"/>
    <numFmt numFmtId="167" formatCode="0;[Red]0"/>
  </numFmts>
  <fonts count="39" x14ac:knownFonts="1">
    <font>
      <sz val="11"/>
      <color theme="1"/>
      <name val="Calibri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24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14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sz val="14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16"/>
      <color rgb="FFFF0000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rgb="FFFF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6"/>
      <color theme="1"/>
      <name val="Calibri"/>
      <family val="2"/>
      <charset val="238"/>
    </font>
    <font>
      <b/>
      <sz val="16"/>
      <color theme="1"/>
      <name val="Calibri"/>
      <family val="2"/>
      <charset val="238"/>
    </font>
    <font>
      <sz val="24"/>
      <color theme="1"/>
      <name val="Calibri"/>
      <family val="2"/>
      <charset val="238"/>
    </font>
    <font>
      <b/>
      <sz val="24"/>
      <color theme="1"/>
      <name val="Calibri"/>
      <family val="2"/>
      <charset val="238"/>
    </font>
    <font>
      <sz val="24"/>
      <color theme="1"/>
      <name val="Calibri"/>
      <family val="2"/>
      <charset val="238"/>
      <scheme val="minor"/>
    </font>
    <font>
      <b/>
      <sz val="26"/>
      <color theme="1"/>
      <name val="Calibri"/>
      <family val="2"/>
      <charset val="238"/>
    </font>
    <font>
      <sz val="26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4">
    <fill>
      <patternFill patternType="none"/>
    </fill>
    <fill>
      <patternFill patternType="gray125"/>
    </fill>
    <fill>
      <patternFill patternType="solid">
        <fgColor rgb="FFA8D08D"/>
        <bgColor rgb="FFA8D08D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  <fill>
      <patternFill patternType="solid">
        <fgColor rgb="FFBFBFBF"/>
        <bgColor rgb="FFBFBFBF"/>
      </patternFill>
    </fill>
    <fill>
      <patternFill patternType="solid">
        <fgColor rgb="FFB4C6E7"/>
        <bgColor rgb="FFB4C6E7"/>
      </patternFill>
    </fill>
    <fill>
      <patternFill patternType="solid">
        <fgColor theme="0"/>
        <bgColor theme="0"/>
      </patternFill>
    </fill>
    <fill>
      <patternFill patternType="solid">
        <fgColor rgb="FFFEF2CB"/>
        <bgColor rgb="FFFEF2CB"/>
      </patternFill>
    </fill>
    <fill>
      <patternFill patternType="solid">
        <fgColor rgb="FFD8D8D8"/>
        <bgColor rgb="FFD8D8D8"/>
      </patternFill>
    </fill>
    <fill>
      <patternFill patternType="solid">
        <fgColor theme="4"/>
        <bgColor indexed="64"/>
      </patternFill>
    </fill>
    <fill>
      <patternFill patternType="solid">
        <fgColor theme="4"/>
        <bgColor rgb="FFFF0000"/>
      </patternFill>
    </fill>
    <fill>
      <patternFill patternType="solid">
        <fgColor rgb="FFFFFF00"/>
        <bgColor rgb="FFFEF2CB"/>
      </patternFill>
    </fill>
    <fill>
      <patternFill patternType="solid">
        <fgColor theme="8" tint="-0.24994659260841701"/>
        <bgColor rgb="FFFF000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</borders>
  <cellStyleXfs count="3">
    <xf numFmtId="0" fontId="0" fillId="0" borderId="0"/>
    <xf numFmtId="0" fontId="37" fillId="0" borderId="4"/>
    <xf numFmtId="0" fontId="37" fillId="0" borderId="4"/>
  </cellStyleXfs>
  <cellXfs count="125">
    <xf numFmtId="0" fontId="0" fillId="0" borderId="0" xfId="0"/>
    <xf numFmtId="0" fontId="15" fillId="0" borderId="0" xfId="0" applyFont="1"/>
    <xf numFmtId="0" fontId="16" fillId="0" borderId="0" xfId="0" applyFont="1"/>
    <xf numFmtId="164" fontId="16" fillId="0" borderId="0" xfId="0" applyNumberFormat="1" applyFont="1"/>
    <xf numFmtId="164" fontId="15" fillId="0" borderId="0" xfId="0" applyNumberFormat="1" applyFont="1"/>
    <xf numFmtId="165" fontId="16" fillId="0" borderId="0" xfId="0" applyNumberFormat="1" applyFont="1"/>
    <xf numFmtId="14" fontId="16" fillId="0" borderId="0" xfId="0" applyNumberFormat="1" applyFont="1"/>
    <xf numFmtId="6" fontId="16" fillId="0" borderId="0" xfId="0" applyNumberFormat="1" applyFont="1"/>
    <xf numFmtId="16" fontId="16" fillId="0" borderId="0" xfId="0" applyNumberFormat="1" applyFont="1"/>
    <xf numFmtId="166" fontId="17" fillId="0" borderId="0" xfId="0" applyNumberFormat="1" applyFont="1"/>
    <xf numFmtId="49" fontId="16" fillId="0" borderId="1" xfId="0" applyNumberFormat="1" applyFont="1" applyBorder="1"/>
    <xf numFmtId="167" fontId="16" fillId="0" borderId="1" xfId="0" applyNumberFormat="1" applyFont="1" applyBorder="1"/>
    <xf numFmtId="0" fontId="16" fillId="0" borderId="0" xfId="0" applyFont="1" applyAlignment="1">
      <alignment wrapText="1"/>
    </xf>
    <xf numFmtId="0" fontId="16" fillId="2" borderId="4" xfId="0" applyFont="1" applyFill="1" applyBorder="1"/>
    <xf numFmtId="0" fontId="16" fillId="3" borderId="4" xfId="0" applyFont="1" applyFill="1" applyBorder="1"/>
    <xf numFmtId="0" fontId="16" fillId="4" borderId="4" xfId="0" applyFont="1" applyFill="1" applyBorder="1"/>
    <xf numFmtId="0" fontId="16" fillId="2" borderId="4" xfId="0" applyFont="1" applyFill="1" applyBorder="1" applyAlignment="1">
      <alignment wrapText="1"/>
    </xf>
    <xf numFmtId="0" fontId="15" fillId="2" borderId="4" xfId="0" applyFont="1" applyFill="1" applyBorder="1"/>
    <xf numFmtId="0" fontId="16" fillId="3" borderId="4" xfId="0" applyFont="1" applyFill="1" applyBorder="1" applyAlignment="1">
      <alignment wrapText="1"/>
    </xf>
    <xf numFmtId="0" fontId="15" fillId="3" borderId="4" xfId="0" applyFont="1" applyFill="1" applyBorder="1"/>
    <xf numFmtId="0" fontId="16" fillId="4" borderId="4" xfId="0" applyFont="1" applyFill="1" applyBorder="1" applyAlignment="1">
      <alignment wrapText="1"/>
    </xf>
    <xf numFmtId="0" fontId="15" fillId="4" borderId="4" xfId="0" applyFont="1" applyFill="1" applyBorder="1"/>
    <xf numFmtId="167" fontId="15" fillId="2" borderId="4" xfId="0" applyNumberFormat="1" applyFont="1" applyFill="1" applyBorder="1"/>
    <xf numFmtId="167" fontId="15" fillId="3" borderId="4" xfId="0" applyNumberFormat="1" applyFont="1" applyFill="1" applyBorder="1"/>
    <xf numFmtId="167" fontId="15" fillId="4" borderId="4" xfId="0" applyNumberFormat="1" applyFont="1" applyFill="1" applyBorder="1"/>
    <xf numFmtId="0" fontId="20" fillId="0" borderId="0" xfId="0" applyFont="1"/>
    <xf numFmtId="49" fontId="21" fillId="6" borderId="1" xfId="0" applyNumberFormat="1" applyFont="1" applyFill="1" applyBorder="1"/>
    <xf numFmtId="49" fontId="21" fillId="3" borderId="1" xfId="0" applyNumberFormat="1" applyFont="1" applyFill="1" applyBorder="1"/>
    <xf numFmtId="49" fontId="21" fillId="8" borderId="1" xfId="0" applyNumberFormat="1" applyFont="1" applyFill="1" applyBorder="1"/>
    <xf numFmtId="49" fontId="21" fillId="6" borderId="7" xfId="0" applyNumberFormat="1" applyFont="1" applyFill="1" applyBorder="1"/>
    <xf numFmtId="49" fontId="21" fillId="3" borderId="7" xfId="0" applyNumberFormat="1" applyFont="1" applyFill="1" applyBorder="1"/>
    <xf numFmtId="49" fontId="21" fillId="8" borderId="7" xfId="0" applyNumberFormat="1" applyFont="1" applyFill="1" applyBorder="1"/>
    <xf numFmtId="14" fontId="0" fillId="0" borderId="0" xfId="0" applyNumberFormat="1"/>
    <xf numFmtId="6" fontId="0" fillId="0" borderId="0" xfId="0" applyNumberFormat="1"/>
    <xf numFmtId="0" fontId="0" fillId="0" borderId="0" xfId="0" quotePrefix="1"/>
    <xf numFmtId="49" fontId="21" fillId="0" borderId="1" xfId="0" applyNumberFormat="1" applyFont="1" applyBorder="1"/>
    <xf numFmtId="49" fontId="22" fillId="5" borderId="4" xfId="0" applyNumberFormat="1" applyFont="1" applyFill="1" applyBorder="1" applyAlignment="1">
      <alignment wrapText="1"/>
    </xf>
    <xf numFmtId="49" fontId="0" fillId="0" borderId="0" xfId="0" applyNumberFormat="1"/>
    <xf numFmtId="49" fontId="16" fillId="7" borderId="1" xfId="0" applyNumberFormat="1" applyFont="1" applyFill="1" applyBorder="1"/>
    <xf numFmtId="49" fontId="23" fillId="0" borderId="1" xfId="0" applyNumberFormat="1" applyFont="1" applyBorder="1"/>
    <xf numFmtId="49" fontId="22" fillId="5" borderId="5" xfId="0" applyNumberFormat="1" applyFont="1" applyFill="1" applyBorder="1"/>
    <xf numFmtId="49" fontId="23" fillId="0" borderId="6" xfId="0" applyNumberFormat="1" applyFont="1" applyBorder="1"/>
    <xf numFmtId="49" fontId="21" fillId="5" borderId="1" xfId="0" applyNumberFormat="1" applyFont="1" applyFill="1" applyBorder="1"/>
    <xf numFmtId="49" fontId="22" fillId="5" borderId="1" xfId="0" applyNumberFormat="1" applyFont="1" applyFill="1" applyBorder="1"/>
    <xf numFmtId="49" fontId="21" fillId="0" borderId="8" xfId="0" applyNumberFormat="1" applyFont="1" applyBorder="1"/>
    <xf numFmtId="49" fontId="22" fillId="7" borderId="1" xfId="0" applyNumberFormat="1" applyFont="1" applyFill="1" applyBorder="1"/>
    <xf numFmtId="49" fontId="21" fillId="7" borderId="1" xfId="0" applyNumberFormat="1" applyFont="1" applyFill="1" applyBorder="1"/>
    <xf numFmtId="49" fontId="16" fillId="7" borderId="4" xfId="0" applyNumberFormat="1" applyFont="1" applyFill="1" applyBorder="1"/>
    <xf numFmtId="49" fontId="21" fillId="9" borderId="1" xfId="0" applyNumberFormat="1" applyFont="1" applyFill="1" applyBorder="1"/>
    <xf numFmtId="0" fontId="14" fillId="0" borderId="0" xfId="0" quotePrefix="1" applyFont="1"/>
    <xf numFmtId="0" fontId="14" fillId="0" borderId="0" xfId="0" applyFont="1"/>
    <xf numFmtId="0" fontId="13" fillId="0" borderId="0" xfId="0" applyFont="1"/>
    <xf numFmtId="0" fontId="12" fillId="0" borderId="0" xfId="0" applyFont="1"/>
    <xf numFmtId="0" fontId="11" fillId="0" borderId="0" xfId="0" applyFont="1"/>
    <xf numFmtId="0" fontId="27" fillId="0" borderId="0" xfId="0" applyFont="1"/>
    <xf numFmtId="0" fontId="28" fillId="0" borderId="0" xfId="0" applyFont="1"/>
    <xf numFmtId="0" fontId="16" fillId="11" borderId="4" xfId="0" applyFont="1" applyFill="1" applyBorder="1"/>
    <xf numFmtId="0" fontId="15" fillId="11" borderId="4" xfId="0" applyFont="1" applyFill="1" applyBorder="1"/>
    <xf numFmtId="167" fontId="15" fillId="11" borderId="4" xfId="0" applyNumberFormat="1" applyFont="1" applyFill="1" applyBorder="1"/>
    <xf numFmtId="0" fontId="10" fillId="0" borderId="0" xfId="0" applyFont="1"/>
    <xf numFmtId="0" fontId="10" fillId="0" borderId="1" xfId="0" applyFont="1" applyBorder="1"/>
    <xf numFmtId="167" fontId="29" fillId="0" borderId="1" xfId="0" applyNumberFormat="1" applyFont="1" applyBorder="1"/>
    <xf numFmtId="0" fontId="16" fillId="11" borderId="4" xfId="0" applyFont="1" applyFill="1" applyBorder="1" applyAlignment="1">
      <alignment wrapText="1"/>
    </xf>
    <xf numFmtId="0" fontId="21" fillId="0" borderId="1" xfId="0" applyFont="1" applyBorder="1"/>
    <xf numFmtId="0" fontId="22" fillId="5" borderId="4" xfId="0" applyFont="1" applyFill="1" applyBorder="1" applyAlignment="1">
      <alignment wrapText="1"/>
    </xf>
    <xf numFmtId="0" fontId="21" fillId="6" borderId="1" xfId="0" applyFont="1" applyFill="1" applyBorder="1"/>
    <xf numFmtId="0" fontId="21" fillId="8" borderId="1" xfId="0" applyFont="1" applyFill="1" applyBorder="1"/>
    <xf numFmtId="0" fontId="21" fillId="12" borderId="9" xfId="0" applyFont="1" applyFill="1" applyBorder="1"/>
    <xf numFmtId="0" fontId="22" fillId="5" borderId="5" xfId="0" applyFont="1" applyFill="1" applyBorder="1"/>
    <xf numFmtId="0" fontId="23" fillId="0" borderId="1" xfId="0" applyFont="1" applyBorder="1"/>
    <xf numFmtId="0" fontId="30" fillId="6" borderId="1" xfId="0" applyFont="1" applyFill="1" applyBorder="1"/>
    <xf numFmtId="0" fontId="30" fillId="8" borderId="1" xfId="0" applyFont="1" applyFill="1" applyBorder="1"/>
    <xf numFmtId="0" fontId="30" fillId="12" borderId="9" xfId="0" applyFont="1" applyFill="1" applyBorder="1"/>
    <xf numFmtId="0" fontId="23" fillId="0" borderId="6" xfId="0" applyFont="1" applyBorder="1"/>
    <xf numFmtId="0" fontId="21" fillId="6" borderId="7" xfId="0" applyFont="1" applyFill="1" applyBorder="1"/>
    <xf numFmtId="0" fontId="30" fillId="8" borderId="7" xfId="0" applyFont="1" applyFill="1" applyBorder="1"/>
    <xf numFmtId="0" fontId="21" fillId="8" borderId="7" xfId="0" applyFont="1" applyFill="1" applyBorder="1"/>
    <xf numFmtId="0" fontId="30" fillId="12" borderId="12" xfId="0" applyFont="1" applyFill="1" applyBorder="1"/>
    <xf numFmtId="0" fontId="21" fillId="12" borderId="12" xfId="0" applyFont="1" applyFill="1" applyBorder="1"/>
    <xf numFmtId="0" fontId="31" fillId="0" borderId="7" xfId="0" applyFont="1" applyBorder="1"/>
    <xf numFmtId="0" fontId="21" fillId="5" borderId="1" xfId="0" applyFont="1" applyFill="1" applyBorder="1"/>
    <xf numFmtId="0" fontId="22" fillId="5" borderId="1" xfId="0" applyFont="1" applyFill="1" applyBorder="1"/>
    <xf numFmtId="0" fontId="21" fillId="0" borderId="8" xfId="0" applyFont="1" applyBorder="1"/>
    <xf numFmtId="0" fontId="22" fillId="7" borderId="1" xfId="0" applyFont="1" applyFill="1" applyBorder="1"/>
    <xf numFmtId="0" fontId="31" fillId="0" borderId="1" xfId="0" applyFont="1" applyBorder="1"/>
    <xf numFmtId="0" fontId="30" fillId="0" borderId="8" xfId="0" applyFont="1" applyBorder="1"/>
    <xf numFmtId="0" fontId="0" fillId="0" borderId="13" xfId="0" applyBorder="1"/>
    <xf numFmtId="0" fontId="9" fillId="0" borderId="0" xfId="0" applyFont="1"/>
    <xf numFmtId="0" fontId="8" fillId="0" borderId="0" xfId="0" applyFont="1"/>
    <xf numFmtId="0" fontId="7" fillId="0" borderId="0" xfId="0" applyFont="1"/>
    <xf numFmtId="49" fontId="6" fillId="0" borderId="0" xfId="0" applyNumberFormat="1" applyFont="1"/>
    <xf numFmtId="0" fontId="29" fillId="0" borderId="0" xfId="0" applyFont="1" applyAlignment="1">
      <alignment wrapText="1"/>
    </xf>
    <xf numFmtId="0" fontId="29" fillId="0" borderId="0" xfId="0" applyFont="1"/>
    <xf numFmtId="0" fontId="10" fillId="0" borderId="4" xfId="0" applyFont="1" applyBorder="1"/>
    <xf numFmtId="167" fontId="29" fillId="0" borderId="4" xfId="0" applyNumberFormat="1" applyFont="1" applyBorder="1"/>
    <xf numFmtId="0" fontId="32" fillId="0" borderId="0" xfId="0" applyFont="1" applyAlignment="1">
      <alignment wrapText="1"/>
    </xf>
    <xf numFmtId="167" fontId="33" fillId="0" borderId="0" xfId="0" applyNumberFormat="1" applyFont="1"/>
    <xf numFmtId="167" fontId="34" fillId="0" borderId="0" xfId="0" applyNumberFormat="1" applyFont="1"/>
    <xf numFmtId="0" fontId="35" fillId="2" borderId="4" xfId="0" applyFont="1" applyFill="1" applyBorder="1"/>
    <xf numFmtId="0" fontId="5" fillId="0" borderId="0" xfId="0" applyFont="1"/>
    <xf numFmtId="16" fontId="0" fillId="0" borderId="0" xfId="0" applyNumberFormat="1"/>
    <xf numFmtId="167" fontId="35" fillId="2" borderId="4" xfId="0" applyNumberFormat="1" applyFont="1" applyFill="1" applyBorder="1"/>
    <xf numFmtId="0" fontId="4" fillId="0" borderId="0" xfId="0" applyFont="1"/>
    <xf numFmtId="0" fontId="35" fillId="3" borderId="2" xfId="0" applyFont="1" applyFill="1" applyBorder="1"/>
    <xf numFmtId="0" fontId="35" fillId="4" borderId="2" xfId="0" applyFont="1" applyFill="1" applyBorder="1"/>
    <xf numFmtId="0" fontId="35" fillId="11" borderId="2" xfId="0" applyFont="1" applyFill="1" applyBorder="1"/>
    <xf numFmtId="0" fontId="36" fillId="10" borderId="3" xfId="0" applyFont="1" applyFill="1" applyBorder="1"/>
    <xf numFmtId="167" fontId="35" fillId="3" borderId="2" xfId="0" applyNumberFormat="1" applyFont="1" applyFill="1" applyBorder="1"/>
    <xf numFmtId="167" fontId="35" fillId="4" borderId="2" xfId="0" applyNumberFormat="1" applyFont="1" applyFill="1" applyBorder="1"/>
    <xf numFmtId="0" fontId="3" fillId="0" borderId="0" xfId="0" applyFont="1"/>
    <xf numFmtId="164" fontId="0" fillId="0" borderId="0" xfId="0" applyNumberFormat="1"/>
    <xf numFmtId="0" fontId="2" fillId="0" borderId="0" xfId="0" applyFont="1"/>
    <xf numFmtId="167" fontId="35" fillId="13" borderId="2" xfId="0" applyNumberFormat="1" applyFont="1" applyFill="1" applyBorder="1"/>
    <xf numFmtId="14" fontId="15" fillId="0" borderId="0" xfId="0" applyNumberFormat="1" applyFont="1"/>
    <xf numFmtId="49" fontId="1" fillId="0" borderId="0" xfId="0" applyNumberFormat="1" applyFont="1"/>
    <xf numFmtId="0" fontId="22" fillId="5" borderId="0" xfId="0" applyFont="1" applyFill="1" applyAlignment="1">
      <alignment wrapText="1"/>
    </xf>
    <xf numFmtId="0" fontId="22" fillId="5" borderId="9" xfId="0" applyFont="1" applyFill="1" applyBorder="1"/>
    <xf numFmtId="0" fontId="23" fillId="0" borderId="7" xfId="0" applyFont="1" applyBorder="1"/>
    <xf numFmtId="49" fontId="16" fillId="7" borderId="0" xfId="0" applyNumberFormat="1" applyFont="1" applyFill="1"/>
    <xf numFmtId="49" fontId="24" fillId="0" borderId="9" xfId="0" applyNumberFormat="1" applyFont="1" applyBorder="1"/>
    <xf numFmtId="49" fontId="19" fillId="0" borderId="10" xfId="0" applyNumberFormat="1" applyFont="1" applyBorder="1"/>
    <xf numFmtId="49" fontId="19" fillId="0" borderId="11" xfId="0" applyNumberFormat="1" applyFont="1" applyBorder="1"/>
    <xf numFmtId="0" fontId="24" fillId="0" borderId="9" xfId="0" applyFont="1" applyBorder="1"/>
    <xf numFmtId="0" fontId="19" fillId="0" borderId="10" xfId="0" applyFont="1" applyBorder="1"/>
    <xf numFmtId="0" fontId="19" fillId="0" borderId="11" xfId="0" applyFont="1" applyBorder="1"/>
  </cellXfs>
  <cellStyles count="3">
    <cellStyle name="Normal" xfId="0" builtinId="0"/>
    <cellStyle name="Normalny 2" xfId="1" xr:uid="{1A1BAB4E-79BF-4695-A735-3CFC3A828F54}"/>
    <cellStyle name="Normalny 3" xfId="2" xr:uid="{2124FFB0-8710-46B7-B1A3-23024F46A1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</xdr:row>
          <xdr:rowOff>19050</xdr:rowOff>
        </xdr:from>
        <xdr:to>
          <xdr:col>11</xdr:col>
          <xdr:colOff>438150</xdr:colOff>
          <xdr:row>5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Wstaw Dane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4</xdr:row>
          <xdr:rowOff>161925</xdr:rowOff>
        </xdr:from>
        <xdr:to>
          <xdr:col>9</xdr:col>
          <xdr:colOff>400050</xdr:colOff>
          <xdr:row>6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formularze</a:t>
              </a: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pl-PL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27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H1000"/>
  <sheetViews>
    <sheetView topLeftCell="A14" workbookViewId="0">
      <selection activeCell="E35" sqref="E35"/>
    </sheetView>
  </sheetViews>
  <sheetFormatPr defaultColWidth="14.42578125" defaultRowHeight="15" customHeight="1" x14ac:dyDescent="0.25"/>
  <cols>
    <col min="1" max="2" width="8.7109375" customWidth="1"/>
    <col min="3" max="3" width="17.42578125" customWidth="1"/>
    <col min="4" max="4" width="21.42578125" customWidth="1"/>
    <col min="5" max="7" width="8.7109375" customWidth="1"/>
    <col min="8" max="8" width="13.7109375" customWidth="1"/>
    <col min="9" max="26" width="8.7109375" customWidth="1"/>
  </cols>
  <sheetData>
    <row r="1" spans="3:8" ht="14.25" customHeight="1" x14ac:dyDescent="0.25"/>
    <row r="2" spans="3:8" ht="14.25" customHeight="1" x14ac:dyDescent="0.25">
      <c r="H2" s="1" t="s">
        <v>0</v>
      </c>
    </row>
    <row r="3" spans="3:8" ht="14.25" customHeight="1" x14ac:dyDescent="0.25">
      <c r="C3" s="2" t="s">
        <v>1</v>
      </c>
      <c r="D3" s="3">
        <v>30</v>
      </c>
    </row>
    <row r="4" spans="3:8" ht="14.25" customHeight="1" x14ac:dyDescent="0.25">
      <c r="C4" s="2" t="s">
        <v>2</v>
      </c>
      <c r="D4" s="4">
        <f>(D3+SUM(E9:E35))</f>
        <v>510</v>
      </c>
    </row>
    <row r="5" spans="3:8" ht="14.25" customHeight="1" x14ac:dyDescent="0.25">
      <c r="D5" s="5"/>
    </row>
    <row r="6" spans="3:8" ht="14.25" customHeight="1" x14ac:dyDescent="0.25"/>
    <row r="7" spans="3:8" ht="14.25" customHeight="1" x14ac:dyDescent="0.25"/>
    <row r="8" spans="3:8" ht="14.25" customHeight="1" x14ac:dyDescent="0.25">
      <c r="C8" s="1" t="s">
        <v>3</v>
      </c>
      <c r="D8" s="1" t="s">
        <v>4</v>
      </c>
      <c r="E8" s="2" t="s">
        <v>5</v>
      </c>
    </row>
    <row r="9" spans="3:8" ht="14.25" customHeight="1" x14ac:dyDescent="0.25">
      <c r="C9" s="6">
        <v>45445</v>
      </c>
      <c r="D9" s="2" t="s">
        <v>6</v>
      </c>
      <c r="E9" s="3">
        <v>10</v>
      </c>
    </row>
    <row r="10" spans="3:8" ht="14.25" customHeight="1" x14ac:dyDescent="0.25">
      <c r="C10" s="6">
        <v>45452</v>
      </c>
      <c r="D10" s="2" t="s">
        <v>7</v>
      </c>
      <c r="E10" s="7">
        <v>10</v>
      </c>
    </row>
    <row r="11" spans="3:8" ht="14.25" customHeight="1" x14ac:dyDescent="0.25">
      <c r="C11" s="6">
        <v>45458</v>
      </c>
      <c r="D11" s="2" t="s">
        <v>8</v>
      </c>
      <c r="E11" s="7">
        <v>10</v>
      </c>
    </row>
    <row r="12" spans="3:8" ht="14.25" customHeight="1" x14ac:dyDescent="0.25">
      <c r="C12" s="6">
        <v>45466</v>
      </c>
      <c r="D12" s="2" t="s">
        <v>6</v>
      </c>
      <c r="E12" s="7">
        <v>10</v>
      </c>
    </row>
    <row r="13" spans="3:8" ht="14.25" customHeight="1" x14ac:dyDescent="0.25">
      <c r="C13" s="6">
        <v>45487</v>
      </c>
      <c r="D13" s="2" t="s">
        <v>7</v>
      </c>
      <c r="E13" s="7">
        <v>10</v>
      </c>
    </row>
    <row r="14" spans="3:8" ht="14.25" customHeight="1" x14ac:dyDescent="0.25">
      <c r="C14" s="6">
        <v>45494</v>
      </c>
      <c r="D14" s="2" t="s">
        <v>8</v>
      </c>
      <c r="E14" s="7">
        <v>10</v>
      </c>
    </row>
    <row r="15" spans="3:8" ht="14.25" customHeight="1" x14ac:dyDescent="0.25">
      <c r="C15" s="6">
        <v>45487</v>
      </c>
      <c r="D15" s="2" t="s">
        <v>6</v>
      </c>
      <c r="E15" s="7">
        <v>10</v>
      </c>
    </row>
    <row r="16" spans="3:8" ht="14.25" customHeight="1" x14ac:dyDescent="0.25">
      <c r="C16" s="8">
        <v>45532</v>
      </c>
      <c r="D16" s="2" t="s">
        <v>7</v>
      </c>
      <c r="E16" s="7">
        <v>10</v>
      </c>
    </row>
    <row r="17" spans="3:5" ht="14.25" customHeight="1" x14ac:dyDescent="0.25">
      <c r="C17" s="6">
        <v>45536</v>
      </c>
      <c r="D17" s="2" t="s">
        <v>8</v>
      </c>
      <c r="E17" s="7">
        <v>10</v>
      </c>
    </row>
    <row r="18" spans="3:5" ht="14.25" customHeight="1" x14ac:dyDescent="0.25">
      <c r="C18" s="6">
        <v>45177</v>
      </c>
      <c r="D18" s="2" t="s">
        <v>6</v>
      </c>
      <c r="E18" s="7">
        <v>10</v>
      </c>
    </row>
    <row r="19" spans="3:5" ht="14.25" customHeight="1" x14ac:dyDescent="0.25">
      <c r="C19" s="6">
        <v>45550</v>
      </c>
      <c r="D19" s="2" t="s">
        <v>7</v>
      </c>
      <c r="E19" s="7">
        <v>10</v>
      </c>
    </row>
    <row r="20" spans="3:5" ht="14.25" customHeight="1" x14ac:dyDescent="0.25">
      <c r="C20" s="8">
        <v>45557</v>
      </c>
      <c r="D20" s="2" t="s">
        <v>8</v>
      </c>
      <c r="E20" s="7">
        <v>10</v>
      </c>
    </row>
    <row r="21" spans="3:5" ht="14.25" customHeight="1" x14ac:dyDescent="0.25">
      <c r="C21" s="6">
        <v>45564</v>
      </c>
      <c r="D21" s="2" t="s">
        <v>6</v>
      </c>
      <c r="E21" s="9">
        <v>10</v>
      </c>
    </row>
    <row r="22" spans="3:5" ht="14.25" customHeight="1" x14ac:dyDescent="0.25">
      <c r="C22" s="8">
        <v>45570</v>
      </c>
      <c r="D22" s="2" t="s">
        <v>7</v>
      </c>
      <c r="E22" s="7">
        <v>10</v>
      </c>
    </row>
    <row r="23" spans="3:5" ht="14.25" customHeight="1" x14ac:dyDescent="0.25">
      <c r="C23" s="6">
        <v>45578</v>
      </c>
      <c r="D23" s="2" t="s">
        <v>8</v>
      </c>
      <c r="E23" s="7">
        <v>10</v>
      </c>
    </row>
    <row r="24" spans="3:5" ht="14.25" customHeight="1" x14ac:dyDescent="0.25">
      <c r="C24" s="32">
        <v>45592</v>
      </c>
      <c r="D24" s="2" t="s">
        <v>6</v>
      </c>
      <c r="E24" s="7">
        <v>10</v>
      </c>
    </row>
    <row r="25" spans="3:5" ht="14.25" customHeight="1" x14ac:dyDescent="0.25">
      <c r="C25" s="32">
        <v>45598</v>
      </c>
      <c r="D25" s="2" t="s">
        <v>7</v>
      </c>
      <c r="E25" s="33">
        <v>10</v>
      </c>
    </row>
    <row r="26" spans="3:5" ht="14.25" customHeight="1" x14ac:dyDescent="0.25">
      <c r="C26" s="32">
        <v>45606</v>
      </c>
      <c r="D26" s="2" t="s">
        <v>8</v>
      </c>
      <c r="E26" s="33">
        <v>10</v>
      </c>
    </row>
    <row r="27" spans="3:5" ht="14.25" customHeight="1" x14ac:dyDescent="0.25">
      <c r="C27" s="32">
        <v>45613</v>
      </c>
      <c r="D27" s="2" t="s">
        <v>6</v>
      </c>
      <c r="E27" s="33">
        <v>10</v>
      </c>
    </row>
    <row r="28" spans="3:5" ht="14.25" customHeight="1" x14ac:dyDescent="0.25">
      <c r="C28" s="32">
        <v>45620</v>
      </c>
      <c r="D28" s="2" t="s">
        <v>7</v>
      </c>
      <c r="E28" s="33">
        <v>10</v>
      </c>
    </row>
    <row r="29" spans="3:5" ht="14.25" customHeight="1" x14ac:dyDescent="0.25">
      <c r="C29" s="32">
        <v>45625</v>
      </c>
      <c r="D29" s="2" t="s">
        <v>6</v>
      </c>
      <c r="E29" s="33">
        <v>10</v>
      </c>
    </row>
    <row r="30" spans="3:5" ht="14.25" customHeight="1" x14ac:dyDescent="0.25">
      <c r="C30" s="32">
        <v>38332</v>
      </c>
      <c r="D30" s="99" t="s">
        <v>67</v>
      </c>
      <c r="E30" s="33">
        <v>10</v>
      </c>
    </row>
    <row r="31" spans="3:5" ht="14.25" customHeight="1" x14ac:dyDescent="0.25">
      <c r="C31" s="100">
        <v>45683</v>
      </c>
      <c r="D31" s="99" t="s">
        <v>8</v>
      </c>
      <c r="E31" s="33">
        <v>10</v>
      </c>
    </row>
    <row r="32" spans="3:5" ht="14.25" customHeight="1" x14ac:dyDescent="0.25">
      <c r="C32" s="32">
        <v>45338</v>
      </c>
      <c r="D32" s="109" t="s">
        <v>67</v>
      </c>
      <c r="E32" s="33">
        <v>10</v>
      </c>
    </row>
    <row r="33" spans="5:5" ht="14.25" customHeight="1" x14ac:dyDescent="0.25">
      <c r="E33" s="110">
        <f>SUM(E9:E32)</f>
        <v>240</v>
      </c>
    </row>
    <row r="34" spans="5:5" ht="14.25" customHeight="1" x14ac:dyDescent="0.25"/>
    <row r="35" spans="5:5" ht="14.25" customHeight="1" x14ac:dyDescent="0.25"/>
    <row r="36" spans="5:5" ht="14.25" customHeight="1" x14ac:dyDescent="0.25"/>
    <row r="37" spans="5:5" ht="14.25" customHeight="1" x14ac:dyDescent="0.25"/>
    <row r="38" spans="5:5" ht="14.25" customHeight="1" x14ac:dyDescent="0.25"/>
    <row r="39" spans="5:5" ht="14.25" customHeight="1" x14ac:dyDescent="0.25"/>
    <row r="40" spans="5:5" ht="14.25" customHeight="1" x14ac:dyDescent="0.25"/>
    <row r="41" spans="5:5" ht="14.25" customHeight="1" x14ac:dyDescent="0.25"/>
    <row r="42" spans="5:5" ht="14.25" customHeight="1" x14ac:dyDescent="0.25"/>
    <row r="43" spans="5:5" ht="14.25" customHeight="1" x14ac:dyDescent="0.25"/>
    <row r="44" spans="5:5" ht="14.25" customHeight="1" x14ac:dyDescent="0.25"/>
    <row r="45" spans="5:5" ht="14.25" customHeight="1" x14ac:dyDescent="0.25"/>
    <row r="46" spans="5:5" ht="14.25" customHeight="1" x14ac:dyDescent="0.25"/>
    <row r="47" spans="5:5" ht="14.25" customHeight="1" x14ac:dyDescent="0.25"/>
    <row r="48" spans="5: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pageMargins left="0.7" right="0.7" top="0.75" bottom="0.75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96"/>
  <sheetViews>
    <sheetView tabSelected="1" topLeftCell="B1" zoomScaleNormal="100" workbookViewId="0">
      <selection activeCell="N43" sqref="N43:N44"/>
    </sheetView>
  </sheetViews>
  <sheetFormatPr defaultColWidth="14.42578125" defaultRowHeight="15" customHeight="1" x14ac:dyDescent="0.25"/>
  <cols>
    <col min="1" max="1" width="8.7109375" customWidth="1"/>
    <col min="2" max="2" width="25.85546875" customWidth="1"/>
    <col min="3" max="3" width="15.28515625" customWidth="1"/>
    <col min="4" max="4" width="8.7109375" customWidth="1"/>
    <col min="5" max="5" width="13.85546875" customWidth="1"/>
    <col min="6" max="6" width="14.85546875" customWidth="1"/>
    <col min="7" max="7" width="8.7109375" customWidth="1"/>
    <col min="8" max="8" width="10.42578125" customWidth="1"/>
    <col min="9" max="9" width="14.7109375" customWidth="1"/>
    <col min="10" max="10" width="10.5703125" customWidth="1"/>
    <col min="11" max="11" width="11.7109375" customWidth="1"/>
    <col min="12" max="12" width="15.140625" customWidth="1"/>
    <col min="13" max="13" width="8.7109375" customWidth="1"/>
    <col min="14" max="14" width="12.5703125" customWidth="1"/>
    <col min="15" max="26" width="8.7109375" customWidth="1"/>
  </cols>
  <sheetData>
    <row r="1" spans="1:10" ht="84" customHeight="1" x14ac:dyDescent="0.5">
      <c r="B1" s="95" t="s">
        <v>95</v>
      </c>
    </row>
    <row r="2" spans="1:10" ht="15" customHeight="1" x14ac:dyDescent="0.25">
      <c r="B2" s="1"/>
    </row>
    <row r="4" spans="1:10" ht="14.25" customHeight="1" x14ac:dyDescent="0.25">
      <c r="A4" s="2"/>
    </row>
    <row r="5" spans="1:10" ht="14.25" customHeight="1" x14ac:dyDescent="0.25">
      <c r="D5" s="10" t="s">
        <v>9</v>
      </c>
      <c r="E5" s="10" t="s">
        <v>10</v>
      </c>
      <c r="J5" t="s">
        <v>96</v>
      </c>
    </row>
    <row r="6" spans="1:10" ht="14.25" customHeight="1" x14ac:dyDescent="0.25">
      <c r="D6" s="11">
        <v>1</v>
      </c>
      <c r="E6" s="11">
        <v>7</v>
      </c>
    </row>
    <row r="7" spans="1:10" ht="14.25" customHeight="1" x14ac:dyDescent="0.25">
      <c r="B7" s="92" t="s">
        <v>11</v>
      </c>
      <c r="D7" s="11">
        <v>2</v>
      </c>
      <c r="E7" s="11">
        <v>5</v>
      </c>
    </row>
    <row r="8" spans="1:10" ht="14.25" customHeight="1" x14ac:dyDescent="0.25">
      <c r="B8" s="91" t="s">
        <v>87</v>
      </c>
      <c r="D8" s="11">
        <v>3</v>
      </c>
      <c r="E8" s="11">
        <v>3</v>
      </c>
    </row>
    <row r="9" spans="1:10" ht="14.25" customHeight="1" x14ac:dyDescent="0.25">
      <c r="B9" s="91" t="s">
        <v>88</v>
      </c>
      <c r="D9" s="11">
        <v>4</v>
      </c>
      <c r="E9" s="11">
        <v>1</v>
      </c>
    </row>
    <row r="10" spans="1:10" ht="14.25" customHeight="1" x14ac:dyDescent="0.25">
      <c r="B10" s="91"/>
      <c r="D10" s="61" t="s">
        <v>89</v>
      </c>
      <c r="E10" s="11">
        <v>6</v>
      </c>
    </row>
    <row r="11" spans="1:10" ht="14.25" customHeight="1" x14ac:dyDescent="0.25">
      <c r="B11" s="91"/>
      <c r="D11" s="61" t="s">
        <v>90</v>
      </c>
      <c r="E11" s="11">
        <v>4</v>
      </c>
    </row>
    <row r="12" spans="1:10" ht="14.25" customHeight="1" x14ac:dyDescent="0.25">
      <c r="B12" s="91"/>
      <c r="D12" s="61" t="s">
        <v>91</v>
      </c>
      <c r="E12" s="11">
        <v>2</v>
      </c>
    </row>
    <row r="13" spans="1:10" ht="14.25" customHeight="1" x14ac:dyDescent="0.25">
      <c r="B13" s="91"/>
      <c r="D13" s="61" t="s">
        <v>92</v>
      </c>
      <c r="E13" s="11">
        <v>5</v>
      </c>
    </row>
    <row r="14" spans="1:10" ht="14.25" customHeight="1" x14ac:dyDescent="0.25">
      <c r="B14" s="91"/>
      <c r="D14" s="61" t="s">
        <v>93</v>
      </c>
      <c r="E14" s="11">
        <v>3</v>
      </c>
    </row>
    <row r="15" spans="1:10" ht="14.25" customHeight="1" x14ac:dyDescent="0.25">
      <c r="B15" s="91"/>
      <c r="D15" s="61" t="s">
        <v>94</v>
      </c>
      <c r="E15" s="11">
        <v>4</v>
      </c>
    </row>
    <row r="16" spans="1:10" ht="14.25" customHeight="1" x14ac:dyDescent="0.25">
      <c r="B16" s="12"/>
      <c r="D16" s="60" t="s">
        <v>66</v>
      </c>
      <c r="E16" s="61">
        <v>0</v>
      </c>
    </row>
    <row r="17" spans="2:15" ht="14.25" customHeight="1" x14ac:dyDescent="0.25">
      <c r="B17" s="12"/>
      <c r="D17" s="93"/>
      <c r="E17" s="94"/>
    </row>
    <row r="18" spans="2:15" ht="14.25" customHeight="1" x14ac:dyDescent="0.25">
      <c r="B18" s="12"/>
      <c r="D18" s="93"/>
      <c r="E18" s="94"/>
    </row>
    <row r="19" spans="2:15" ht="14.25" customHeight="1" x14ac:dyDescent="0.25">
      <c r="B19" s="12"/>
      <c r="D19" s="93"/>
      <c r="E19" s="94"/>
    </row>
    <row r="20" spans="2:15" ht="14.25" customHeight="1" x14ac:dyDescent="0.25"/>
    <row r="21" spans="2:15" ht="30.75" customHeight="1" x14ac:dyDescent="0.5">
      <c r="B21" s="25" t="s">
        <v>97</v>
      </c>
      <c r="C21" s="98" t="s">
        <v>7</v>
      </c>
      <c r="D21" s="13"/>
      <c r="E21" s="13"/>
      <c r="F21" s="103" t="s">
        <v>6</v>
      </c>
      <c r="G21" s="14"/>
      <c r="H21" s="14"/>
      <c r="I21" s="104" t="s">
        <v>8</v>
      </c>
      <c r="J21" s="15"/>
      <c r="K21" s="15"/>
      <c r="L21" s="105" t="s">
        <v>67</v>
      </c>
      <c r="M21" s="106"/>
      <c r="N21" s="56"/>
      <c r="O21" s="1" t="s">
        <v>12</v>
      </c>
    </row>
    <row r="22" spans="2:15" ht="24" customHeight="1" x14ac:dyDescent="0.25">
      <c r="B22" s="1" t="s">
        <v>3</v>
      </c>
      <c r="C22" s="13" t="s">
        <v>13</v>
      </c>
      <c r="D22" s="16" t="s">
        <v>98</v>
      </c>
      <c r="E22" s="17" t="s">
        <v>10</v>
      </c>
      <c r="F22" s="14" t="s">
        <v>13</v>
      </c>
      <c r="G22" s="18" t="s">
        <v>99</v>
      </c>
      <c r="H22" s="19" t="s">
        <v>10</v>
      </c>
      <c r="I22" s="15" t="s">
        <v>13</v>
      </c>
      <c r="J22" s="20" t="s">
        <v>14</v>
      </c>
      <c r="K22" s="21" t="s">
        <v>10</v>
      </c>
      <c r="L22" s="56" t="s">
        <v>13</v>
      </c>
      <c r="M22" s="62" t="s">
        <v>98</v>
      </c>
      <c r="N22" s="57" t="s">
        <v>10</v>
      </c>
    </row>
    <row r="23" spans="2:15" ht="24" customHeight="1" x14ac:dyDescent="0.25">
      <c r="B23" s="113">
        <v>46026</v>
      </c>
      <c r="C23" s="13">
        <v>7</v>
      </c>
      <c r="D23" s="16">
        <v>4</v>
      </c>
      <c r="E23" s="22">
        <f t="shared" ref="E23:E44" si="0">VLOOKUP(D23,$D$6:$E$16,2,FALSE)+C23</f>
        <v>8</v>
      </c>
      <c r="F23" s="14">
        <v>10</v>
      </c>
      <c r="G23" s="18" t="s">
        <v>89</v>
      </c>
      <c r="H23" s="23">
        <f t="shared" ref="H23:H40" si="1">VLOOKUP(G23,$D$6:$E$16,2,FALSE)+F23</f>
        <v>16</v>
      </c>
      <c r="I23" s="15">
        <v>10</v>
      </c>
      <c r="J23" s="20" t="s">
        <v>89</v>
      </c>
      <c r="K23" s="24">
        <f t="shared" ref="K23:K34" si="2">VLOOKUP(J23,$D$6:$E$16,2,FALSE)+I23</f>
        <v>16</v>
      </c>
      <c r="L23" s="56">
        <v>8</v>
      </c>
      <c r="M23" s="62">
        <v>3</v>
      </c>
      <c r="N23" s="58">
        <f t="shared" ref="N23:N44" si="3">VLOOKUP(M23,$D$6:$E$16,2,FALSE)+L23</f>
        <v>11</v>
      </c>
    </row>
    <row r="24" spans="2:15" ht="24" customHeight="1" x14ac:dyDescent="0.25">
      <c r="B24" s="113">
        <v>46033</v>
      </c>
      <c r="C24" s="13">
        <v>9</v>
      </c>
      <c r="D24" s="16">
        <v>3</v>
      </c>
      <c r="E24" s="22">
        <f t="shared" si="0"/>
        <v>12</v>
      </c>
      <c r="F24" s="14">
        <v>14</v>
      </c>
      <c r="G24" s="18">
        <v>1</v>
      </c>
      <c r="H24" s="23">
        <f t="shared" si="1"/>
        <v>21</v>
      </c>
      <c r="I24" s="15">
        <v>10</v>
      </c>
      <c r="J24" s="20">
        <v>2</v>
      </c>
      <c r="K24" s="24">
        <f t="shared" si="2"/>
        <v>15</v>
      </c>
      <c r="L24" s="56">
        <v>0</v>
      </c>
      <c r="M24" s="62" t="s">
        <v>66</v>
      </c>
      <c r="N24" s="58">
        <f t="shared" si="3"/>
        <v>0</v>
      </c>
    </row>
    <row r="25" spans="2:15" ht="24" customHeight="1" x14ac:dyDescent="0.25">
      <c r="B25" s="113">
        <v>46047</v>
      </c>
      <c r="C25" s="13">
        <v>16</v>
      </c>
      <c r="D25" s="16">
        <v>1</v>
      </c>
      <c r="E25" s="22">
        <f t="shared" si="0"/>
        <v>23</v>
      </c>
      <c r="F25" s="14">
        <v>12</v>
      </c>
      <c r="G25" s="18">
        <v>2</v>
      </c>
      <c r="H25" s="23">
        <f t="shared" si="1"/>
        <v>17</v>
      </c>
      <c r="I25" s="15">
        <v>8</v>
      </c>
      <c r="J25" s="20">
        <v>3</v>
      </c>
      <c r="K25" s="24">
        <f t="shared" si="2"/>
        <v>11</v>
      </c>
      <c r="L25" s="56">
        <v>0</v>
      </c>
      <c r="M25" s="62" t="s">
        <v>66</v>
      </c>
      <c r="N25" s="58">
        <f t="shared" si="3"/>
        <v>0</v>
      </c>
    </row>
    <row r="26" spans="2:15" ht="24" customHeight="1" x14ac:dyDescent="0.25">
      <c r="B26" s="113">
        <v>46082</v>
      </c>
      <c r="C26" s="13">
        <v>12</v>
      </c>
      <c r="D26" s="16">
        <v>2</v>
      </c>
      <c r="E26" s="22">
        <f t="shared" si="0"/>
        <v>17</v>
      </c>
      <c r="F26" s="14">
        <v>9</v>
      </c>
      <c r="G26" s="18">
        <v>3</v>
      </c>
      <c r="H26" s="23">
        <f t="shared" si="1"/>
        <v>12</v>
      </c>
      <c r="I26" s="15">
        <v>2</v>
      </c>
      <c r="J26" s="20">
        <v>4</v>
      </c>
      <c r="K26" s="24">
        <f t="shared" si="2"/>
        <v>3</v>
      </c>
      <c r="L26" s="56">
        <v>13</v>
      </c>
      <c r="M26" s="62">
        <v>1</v>
      </c>
      <c r="N26" s="58">
        <f t="shared" si="3"/>
        <v>20</v>
      </c>
    </row>
    <row r="27" spans="2:15" ht="24" customHeight="1" x14ac:dyDescent="0.25">
      <c r="B27" s="113">
        <v>46089</v>
      </c>
      <c r="C27" s="13">
        <v>12</v>
      </c>
      <c r="D27" s="16">
        <v>2</v>
      </c>
      <c r="E27" s="22">
        <f t="shared" si="0"/>
        <v>17</v>
      </c>
      <c r="F27" s="14">
        <v>14</v>
      </c>
      <c r="G27" s="18">
        <v>1</v>
      </c>
      <c r="H27" s="23">
        <f t="shared" si="1"/>
        <v>21</v>
      </c>
      <c r="I27" s="15">
        <v>7</v>
      </c>
      <c r="J27" s="20">
        <v>3</v>
      </c>
      <c r="K27" s="24">
        <f t="shared" si="2"/>
        <v>10</v>
      </c>
      <c r="L27" s="56">
        <v>0</v>
      </c>
      <c r="M27" s="62" t="s">
        <v>66</v>
      </c>
      <c r="N27" s="58">
        <f t="shared" si="3"/>
        <v>0</v>
      </c>
    </row>
    <row r="28" spans="2:15" ht="24" customHeight="1" x14ac:dyDescent="0.25">
      <c r="B28" s="113">
        <v>46096</v>
      </c>
      <c r="C28" s="13">
        <v>10</v>
      </c>
      <c r="D28" s="16">
        <v>1</v>
      </c>
      <c r="E28" s="22">
        <f t="shared" si="0"/>
        <v>17</v>
      </c>
      <c r="F28" s="14">
        <v>9</v>
      </c>
      <c r="G28" s="18">
        <v>2</v>
      </c>
      <c r="H28" s="23">
        <f t="shared" si="1"/>
        <v>14</v>
      </c>
      <c r="I28" s="15">
        <v>7</v>
      </c>
      <c r="J28" s="20">
        <v>4</v>
      </c>
      <c r="K28" s="24">
        <f t="shared" si="2"/>
        <v>8</v>
      </c>
      <c r="L28" s="56">
        <v>8</v>
      </c>
      <c r="M28" s="62">
        <v>3</v>
      </c>
      <c r="N28" s="58">
        <f t="shared" si="3"/>
        <v>11</v>
      </c>
    </row>
    <row r="29" spans="2:15" ht="24" customHeight="1" x14ac:dyDescent="0.25">
      <c r="B29" s="113">
        <v>46110</v>
      </c>
      <c r="C29" s="13">
        <v>7</v>
      </c>
      <c r="D29" s="16">
        <v>3</v>
      </c>
      <c r="E29" s="22">
        <f t="shared" si="0"/>
        <v>10</v>
      </c>
      <c r="F29" s="14">
        <v>11</v>
      </c>
      <c r="G29" s="18">
        <v>2</v>
      </c>
      <c r="H29" s="23">
        <f t="shared" si="1"/>
        <v>16</v>
      </c>
      <c r="I29" s="15">
        <v>4</v>
      </c>
      <c r="J29" s="20">
        <v>4</v>
      </c>
      <c r="K29" s="24">
        <f t="shared" si="2"/>
        <v>5</v>
      </c>
      <c r="L29" s="56">
        <v>14</v>
      </c>
      <c r="M29" s="62">
        <v>1</v>
      </c>
      <c r="N29" s="58">
        <f t="shared" si="3"/>
        <v>21</v>
      </c>
    </row>
    <row r="30" spans="2:15" ht="24" customHeight="1" x14ac:dyDescent="0.25">
      <c r="B30" s="113">
        <v>46124</v>
      </c>
      <c r="C30" s="13">
        <v>10</v>
      </c>
      <c r="D30" s="16">
        <v>2</v>
      </c>
      <c r="E30" s="22">
        <f t="shared" si="0"/>
        <v>15</v>
      </c>
      <c r="F30" s="14">
        <v>8</v>
      </c>
      <c r="G30" s="18">
        <v>3</v>
      </c>
      <c r="H30" s="23">
        <f t="shared" si="1"/>
        <v>11</v>
      </c>
      <c r="I30" s="15">
        <v>0</v>
      </c>
      <c r="J30" s="20" t="s">
        <v>66</v>
      </c>
      <c r="K30" s="24">
        <f t="shared" si="2"/>
        <v>0</v>
      </c>
      <c r="L30" s="56">
        <v>12</v>
      </c>
      <c r="M30" s="62">
        <v>1</v>
      </c>
      <c r="N30" s="58">
        <f t="shared" si="3"/>
        <v>19</v>
      </c>
    </row>
    <row r="31" spans="2:15" ht="24" customHeight="1" x14ac:dyDescent="0.25">
      <c r="B31" s="113">
        <v>46138</v>
      </c>
      <c r="C31" s="13">
        <v>7</v>
      </c>
      <c r="D31" s="16">
        <v>2</v>
      </c>
      <c r="E31" s="22">
        <f t="shared" si="0"/>
        <v>12</v>
      </c>
      <c r="F31" s="14">
        <v>6</v>
      </c>
      <c r="G31" s="18">
        <v>3</v>
      </c>
      <c r="H31" s="23">
        <f t="shared" si="1"/>
        <v>9</v>
      </c>
      <c r="I31" s="15">
        <v>6</v>
      </c>
      <c r="J31" s="20">
        <v>3</v>
      </c>
      <c r="K31" s="24">
        <f t="shared" si="2"/>
        <v>9</v>
      </c>
      <c r="L31" s="56">
        <v>11</v>
      </c>
      <c r="M31" s="62">
        <v>1</v>
      </c>
      <c r="N31" s="58">
        <f t="shared" si="3"/>
        <v>18</v>
      </c>
    </row>
    <row r="32" spans="2:15" ht="24" customHeight="1" x14ac:dyDescent="0.25">
      <c r="B32" s="113">
        <v>46141</v>
      </c>
      <c r="C32" s="13">
        <v>7</v>
      </c>
      <c r="D32" s="16">
        <v>3</v>
      </c>
      <c r="E32" s="22">
        <f t="shared" si="0"/>
        <v>10</v>
      </c>
      <c r="F32" s="14">
        <v>10</v>
      </c>
      <c r="G32" s="18">
        <v>2</v>
      </c>
      <c r="H32" s="23">
        <f t="shared" si="1"/>
        <v>15</v>
      </c>
      <c r="I32" s="15">
        <v>3</v>
      </c>
      <c r="J32" s="20">
        <v>4</v>
      </c>
      <c r="K32" s="24">
        <f t="shared" si="2"/>
        <v>4</v>
      </c>
      <c r="L32" s="56">
        <v>16</v>
      </c>
      <c r="M32" s="62">
        <v>1</v>
      </c>
      <c r="N32" s="58">
        <f t="shared" si="3"/>
        <v>23</v>
      </c>
    </row>
    <row r="33" spans="2:14" ht="24" customHeight="1" x14ac:dyDescent="0.25">
      <c r="B33" s="113">
        <v>46145</v>
      </c>
      <c r="C33" s="13">
        <v>11</v>
      </c>
      <c r="D33" s="16">
        <v>2</v>
      </c>
      <c r="E33" s="22">
        <f t="shared" si="0"/>
        <v>16</v>
      </c>
      <c r="F33" s="14">
        <v>0</v>
      </c>
      <c r="G33" s="18" t="s">
        <v>66</v>
      </c>
      <c r="H33" s="23">
        <f t="shared" si="1"/>
        <v>0</v>
      </c>
      <c r="I33" s="15">
        <v>6</v>
      </c>
      <c r="J33" s="20">
        <v>3</v>
      </c>
      <c r="K33" s="24">
        <f t="shared" si="2"/>
        <v>9</v>
      </c>
      <c r="L33" s="56">
        <v>16</v>
      </c>
      <c r="M33" s="62">
        <v>1</v>
      </c>
      <c r="N33" s="58">
        <f t="shared" si="3"/>
        <v>23</v>
      </c>
    </row>
    <row r="34" spans="2:14" ht="24" customHeight="1" x14ac:dyDescent="0.25">
      <c r="B34" s="113">
        <v>46148</v>
      </c>
      <c r="C34" s="13">
        <v>4</v>
      </c>
      <c r="D34" s="16">
        <v>4</v>
      </c>
      <c r="E34" s="22">
        <f t="shared" si="0"/>
        <v>5</v>
      </c>
      <c r="F34" s="14">
        <v>9</v>
      </c>
      <c r="G34" s="18">
        <v>2</v>
      </c>
      <c r="H34" s="23">
        <f t="shared" si="1"/>
        <v>14</v>
      </c>
      <c r="I34" s="15">
        <v>5</v>
      </c>
      <c r="J34" s="20">
        <v>3</v>
      </c>
      <c r="K34" s="24">
        <f t="shared" si="2"/>
        <v>8</v>
      </c>
      <c r="L34" s="56">
        <v>12</v>
      </c>
      <c r="M34" s="62">
        <v>1</v>
      </c>
      <c r="N34" s="58">
        <f t="shared" si="3"/>
        <v>19</v>
      </c>
    </row>
    <row r="35" spans="2:14" ht="24" customHeight="1" x14ac:dyDescent="0.25">
      <c r="B35" s="113">
        <v>46152</v>
      </c>
      <c r="C35" s="13">
        <v>13</v>
      </c>
      <c r="D35" s="16">
        <v>1</v>
      </c>
      <c r="E35" s="22">
        <f t="shared" si="0"/>
        <v>20</v>
      </c>
      <c r="F35" s="14">
        <v>13</v>
      </c>
      <c r="G35" s="18">
        <v>1</v>
      </c>
      <c r="H35" s="23">
        <f t="shared" si="1"/>
        <v>20</v>
      </c>
      <c r="I35" s="15">
        <v>7</v>
      </c>
      <c r="J35" s="20">
        <v>3</v>
      </c>
      <c r="K35" s="24">
        <f t="shared" ref="K35:K44" si="4">VLOOKUP(J35,$D$6:$E$16,2,FALSE)+I35</f>
        <v>10</v>
      </c>
      <c r="L35" s="56">
        <v>0</v>
      </c>
      <c r="M35" s="62" t="s">
        <v>66</v>
      </c>
      <c r="N35" s="58">
        <f t="shared" si="3"/>
        <v>0</v>
      </c>
    </row>
    <row r="36" spans="2:14" ht="24" customHeight="1" x14ac:dyDescent="0.25">
      <c r="B36" s="113">
        <v>46159</v>
      </c>
      <c r="C36" s="13">
        <v>10</v>
      </c>
      <c r="D36" s="16">
        <v>2</v>
      </c>
      <c r="E36" s="22">
        <f t="shared" si="0"/>
        <v>15</v>
      </c>
      <c r="F36" s="14">
        <v>5</v>
      </c>
      <c r="G36" s="18">
        <v>3</v>
      </c>
      <c r="H36" s="23">
        <f t="shared" si="1"/>
        <v>8</v>
      </c>
      <c r="I36" s="15">
        <v>0</v>
      </c>
      <c r="J36" s="20" t="s">
        <v>66</v>
      </c>
      <c r="K36" s="24">
        <f t="shared" si="4"/>
        <v>0</v>
      </c>
      <c r="L36" s="56">
        <v>17</v>
      </c>
      <c r="M36" s="62">
        <v>1</v>
      </c>
      <c r="N36" s="58">
        <f t="shared" si="3"/>
        <v>24</v>
      </c>
    </row>
    <row r="37" spans="2:14" ht="24" customHeight="1" x14ac:dyDescent="0.25">
      <c r="B37" s="113">
        <v>46166</v>
      </c>
      <c r="C37" s="13">
        <v>8</v>
      </c>
      <c r="D37" s="16">
        <v>3</v>
      </c>
      <c r="E37" s="22">
        <f t="shared" si="0"/>
        <v>11</v>
      </c>
      <c r="F37" s="14">
        <v>12</v>
      </c>
      <c r="G37" s="18">
        <v>1</v>
      </c>
      <c r="H37" s="23">
        <f t="shared" si="1"/>
        <v>19</v>
      </c>
      <c r="I37" s="15">
        <v>0</v>
      </c>
      <c r="J37" s="20" t="s">
        <v>66</v>
      </c>
      <c r="K37" s="24">
        <f t="shared" si="4"/>
        <v>0</v>
      </c>
      <c r="L37" s="56">
        <v>10</v>
      </c>
      <c r="M37" s="62">
        <v>2</v>
      </c>
      <c r="N37" s="58">
        <f t="shared" si="3"/>
        <v>15</v>
      </c>
    </row>
    <row r="38" spans="2:14" ht="24" customHeight="1" x14ac:dyDescent="0.25">
      <c r="B38" s="113">
        <v>46180</v>
      </c>
      <c r="C38" s="13">
        <v>8</v>
      </c>
      <c r="D38" s="16">
        <v>3</v>
      </c>
      <c r="E38" s="22">
        <f t="shared" si="0"/>
        <v>11</v>
      </c>
      <c r="F38" s="14">
        <v>10</v>
      </c>
      <c r="G38" s="18">
        <v>2</v>
      </c>
      <c r="H38" s="23">
        <f t="shared" si="1"/>
        <v>15</v>
      </c>
      <c r="I38" s="15">
        <v>0</v>
      </c>
      <c r="J38" s="20" t="s">
        <v>66</v>
      </c>
      <c r="K38" s="24">
        <f t="shared" si="4"/>
        <v>0</v>
      </c>
      <c r="L38" s="56">
        <v>12</v>
      </c>
      <c r="M38" s="62">
        <v>1</v>
      </c>
      <c r="N38" s="58">
        <f t="shared" si="3"/>
        <v>19</v>
      </c>
    </row>
    <row r="39" spans="2:14" ht="24" customHeight="1" x14ac:dyDescent="0.25">
      <c r="B39" s="113">
        <v>46187</v>
      </c>
      <c r="C39" s="13">
        <v>10</v>
      </c>
      <c r="D39" s="16">
        <v>2</v>
      </c>
      <c r="E39" s="22">
        <f t="shared" si="0"/>
        <v>15</v>
      </c>
      <c r="F39" s="14">
        <v>7</v>
      </c>
      <c r="G39" s="18">
        <v>3</v>
      </c>
      <c r="H39" s="23">
        <f t="shared" si="1"/>
        <v>10</v>
      </c>
      <c r="I39" s="15">
        <v>0</v>
      </c>
      <c r="J39" s="20" t="s">
        <v>66</v>
      </c>
      <c r="K39" s="24">
        <f t="shared" si="4"/>
        <v>0</v>
      </c>
      <c r="L39" s="56">
        <v>13</v>
      </c>
      <c r="M39" s="62">
        <v>1</v>
      </c>
      <c r="N39" s="58">
        <f t="shared" si="3"/>
        <v>20</v>
      </c>
    </row>
    <row r="40" spans="2:14" ht="24" customHeight="1" x14ac:dyDescent="0.25">
      <c r="B40" s="113">
        <v>46208</v>
      </c>
      <c r="C40" s="13">
        <v>8</v>
      </c>
      <c r="D40" s="16">
        <v>3</v>
      </c>
      <c r="E40" s="22">
        <f t="shared" si="0"/>
        <v>11</v>
      </c>
      <c r="F40" s="14">
        <v>13</v>
      </c>
      <c r="G40" s="18">
        <v>1</v>
      </c>
      <c r="H40" s="23">
        <f t="shared" si="1"/>
        <v>20</v>
      </c>
      <c r="I40" s="15">
        <v>0</v>
      </c>
      <c r="J40" s="20" t="s">
        <v>66</v>
      </c>
      <c r="K40" s="24">
        <f t="shared" si="4"/>
        <v>0</v>
      </c>
      <c r="L40" s="56">
        <v>9</v>
      </c>
      <c r="M40" s="62">
        <v>2</v>
      </c>
      <c r="N40" s="58">
        <f t="shared" si="3"/>
        <v>14</v>
      </c>
    </row>
    <row r="41" spans="2:14" ht="24" customHeight="1" x14ac:dyDescent="0.25">
      <c r="B41" s="113">
        <v>46222</v>
      </c>
      <c r="C41" s="13">
        <v>12</v>
      </c>
      <c r="D41" s="16">
        <v>1</v>
      </c>
      <c r="E41" s="22">
        <f t="shared" si="0"/>
        <v>19</v>
      </c>
      <c r="F41" s="14">
        <v>10</v>
      </c>
      <c r="G41" s="18">
        <v>2</v>
      </c>
      <c r="H41" s="23">
        <f>VLOOKUP(G41,$D$6:$E$16,2,FALSE)+F41</f>
        <v>15</v>
      </c>
      <c r="I41" s="15">
        <v>4</v>
      </c>
      <c r="J41" s="20">
        <v>4</v>
      </c>
      <c r="K41" s="24">
        <f t="shared" si="4"/>
        <v>5</v>
      </c>
      <c r="L41" s="56">
        <v>10</v>
      </c>
      <c r="M41" s="62">
        <v>2</v>
      </c>
      <c r="N41" s="58">
        <f t="shared" si="3"/>
        <v>15</v>
      </c>
    </row>
    <row r="42" spans="2:14" ht="24" customHeight="1" x14ac:dyDescent="0.25">
      <c r="B42" s="113">
        <v>46199</v>
      </c>
      <c r="C42" s="13">
        <v>13</v>
      </c>
      <c r="D42" s="16">
        <v>1</v>
      </c>
      <c r="E42" s="22">
        <f t="shared" si="0"/>
        <v>20</v>
      </c>
      <c r="F42" s="14">
        <v>13</v>
      </c>
      <c r="G42" s="18">
        <v>1</v>
      </c>
      <c r="H42" s="23">
        <f>VLOOKUP(G42,$D$6:$E$16,2,FALSE)+F42</f>
        <v>20</v>
      </c>
      <c r="I42" s="15">
        <v>4</v>
      </c>
      <c r="J42" s="20">
        <v>3</v>
      </c>
      <c r="K42" s="24">
        <f t="shared" si="4"/>
        <v>7</v>
      </c>
      <c r="L42" s="56">
        <v>0</v>
      </c>
      <c r="M42" s="62" t="s">
        <v>66</v>
      </c>
      <c r="N42" s="58">
        <f t="shared" si="3"/>
        <v>0</v>
      </c>
    </row>
    <row r="43" spans="2:14" ht="24" customHeight="1" x14ac:dyDescent="0.25">
      <c r="B43" s="113">
        <v>46243</v>
      </c>
      <c r="C43" s="13">
        <v>9</v>
      </c>
      <c r="D43" s="16">
        <v>3</v>
      </c>
      <c r="E43" s="22">
        <f t="shared" si="0"/>
        <v>12</v>
      </c>
      <c r="F43" s="14">
        <v>13</v>
      </c>
      <c r="G43" s="18">
        <v>1</v>
      </c>
      <c r="H43" s="23">
        <f>VLOOKUP(G43,$D$6:$E$16,2,FALSE)+F43</f>
        <v>20</v>
      </c>
      <c r="I43" s="15">
        <v>0</v>
      </c>
      <c r="J43" s="20" t="s">
        <v>66</v>
      </c>
      <c r="K43" s="24">
        <f t="shared" si="4"/>
        <v>0</v>
      </c>
      <c r="L43" s="56">
        <v>11</v>
      </c>
      <c r="M43" s="62">
        <v>2</v>
      </c>
      <c r="N43" s="58">
        <f t="shared" si="3"/>
        <v>16</v>
      </c>
    </row>
    <row r="44" spans="2:14" ht="24" customHeight="1" x14ac:dyDescent="0.25">
      <c r="B44" s="113"/>
      <c r="C44" s="13">
        <v>14</v>
      </c>
      <c r="D44" s="16">
        <v>1</v>
      </c>
      <c r="E44" s="22">
        <f t="shared" si="0"/>
        <v>21</v>
      </c>
      <c r="F44" s="14">
        <v>6</v>
      </c>
      <c r="G44" s="18">
        <v>3</v>
      </c>
      <c r="H44" s="23">
        <f>VLOOKUP(G44,$D$6:$E$16,2,FALSE)+F44</f>
        <v>9</v>
      </c>
      <c r="I44" s="15">
        <v>0</v>
      </c>
      <c r="J44" s="20" t="s">
        <v>66</v>
      </c>
      <c r="K44" s="24">
        <f t="shared" si="4"/>
        <v>0</v>
      </c>
      <c r="L44" s="56">
        <v>10</v>
      </c>
      <c r="M44" s="62">
        <v>2</v>
      </c>
      <c r="N44" s="58">
        <f t="shared" si="3"/>
        <v>15</v>
      </c>
    </row>
    <row r="45" spans="2:14" ht="27.75" customHeight="1" x14ac:dyDescent="0.5">
      <c r="B45" s="25" t="s">
        <v>15</v>
      </c>
      <c r="C45" s="97">
        <f>SUM(C22:C44)</f>
        <v>217</v>
      </c>
      <c r="E45" s="101">
        <f>SUM(E22:E44)</f>
        <v>317</v>
      </c>
      <c r="F45" s="97">
        <f>SUM(F22:F44)</f>
        <v>214</v>
      </c>
      <c r="G45" s="96"/>
      <c r="H45" s="107">
        <f>SUM(H22:H44)</f>
        <v>322</v>
      </c>
      <c r="I45" s="97">
        <f>SUM(I22:I44)</f>
        <v>83</v>
      </c>
      <c r="J45" s="25"/>
      <c r="K45" s="108">
        <f>SUM(K22:K44)</f>
        <v>120</v>
      </c>
      <c r="L45" s="97">
        <f>SUM(L22:L44)</f>
        <v>202</v>
      </c>
      <c r="N45" s="112">
        <f>SUM(N22:N44)</f>
        <v>303</v>
      </c>
    </row>
    <row r="46" spans="2:14" ht="14.25" customHeight="1" x14ac:dyDescent="0.25">
      <c r="K46" s="1"/>
    </row>
    <row r="47" spans="2:14" ht="14.25" customHeight="1" x14ac:dyDescent="0.25"/>
    <row r="48" spans="2:14" ht="14.25" customHeight="1" x14ac:dyDescent="0.25"/>
    <row r="49" ht="14.25" customHeight="1" x14ac:dyDescent="0.25"/>
    <row r="50" ht="14.25" customHeight="1" x14ac:dyDescent="0.25"/>
    <row r="51" ht="12.6" customHeight="1" x14ac:dyDescent="0.25"/>
    <row r="52" ht="12.6" customHeight="1" x14ac:dyDescent="0.25"/>
    <row r="53" ht="12.6" customHeight="1" x14ac:dyDescent="0.25"/>
    <row r="54" ht="12.6" customHeight="1" x14ac:dyDescent="0.25"/>
    <row r="55" ht="12.6" customHeight="1" x14ac:dyDescent="0.25"/>
    <row r="56" ht="12.6" customHeight="1" x14ac:dyDescent="0.25"/>
    <row r="57" ht="12.6" customHeight="1" x14ac:dyDescent="0.25"/>
    <row r="58" ht="12.6" customHeight="1" x14ac:dyDescent="0.25"/>
    <row r="59" ht="12.6" customHeight="1" x14ac:dyDescent="0.25"/>
    <row r="60" ht="12.6" customHeight="1" x14ac:dyDescent="0.25"/>
    <row r="61" ht="12.6" customHeight="1" x14ac:dyDescent="0.25"/>
    <row r="62" ht="12.6" customHeight="1" x14ac:dyDescent="0.25"/>
    <row r="63" ht="12.6" customHeight="1" x14ac:dyDescent="0.25"/>
    <row r="64" ht="12.6" customHeight="1" x14ac:dyDescent="0.25"/>
    <row r="65" ht="12.6" customHeight="1" x14ac:dyDescent="0.25"/>
    <row r="66" ht="12.6" customHeight="1" x14ac:dyDescent="0.25"/>
    <row r="67" ht="12.6" customHeight="1" x14ac:dyDescent="0.25"/>
    <row r="68" ht="12.6" customHeight="1" x14ac:dyDescent="0.25"/>
    <row r="69" ht="12.6" customHeight="1" x14ac:dyDescent="0.25"/>
    <row r="70" ht="12.6" customHeight="1" x14ac:dyDescent="0.25"/>
    <row r="71" ht="12.6" customHeight="1" x14ac:dyDescent="0.25"/>
    <row r="72" ht="12.6" customHeight="1" x14ac:dyDescent="0.25"/>
    <row r="73" ht="12.6" customHeight="1" x14ac:dyDescent="0.25"/>
    <row r="74" ht="12.6" customHeight="1" x14ac:dyDescent="0.25"/>
    <row r="75" ht="12.6" customHeight="1" x14ac:dyDescent="0.25"/>
    <row r="76" ht="12.6" customHeight="1" x14ac:dyDescent="0.25"/>
    <row r="77" ht="12.6" customHeight="1" x14ac:dyDescent="0.25"/>
    <row r="78" ht="12.6" customHeight="1" x14ac:dyDescent="0.25"/>
    <row r="79" ht="12.6" customHeight="1" x14ac:dyDescent="0.25"/>
    <row r="80" ht="12.6" customHeight="1" x14ac:dyDescent="0.25"/>
    <row r="81" spans="15:16" ht="12.6" customHeight="1" x14ac:dyDescent="0.25"/>
    <row r="82" spans="15:16" ht="12.6" customHeight="1" x14ac:dyDescent="0.25"/>
    <row r="83" spans="15:16" ht="12.6" customHeight="1" x14ac:dyDescent="0.25"/>
    <row r="84" spans="15:16" ht="12.6" customHeight="1" x14ac:dyDescent="0.25"/>
    <row r="85" spans="15:16" ht="12.6" customHeight="1" x14ac:dyDescent="0.25"/>
    <row r="86" spans="15:16" ht="44.25" customHeight="1" x14ac:dyDescent="0.25">
      <c r="P86" s="102" t="s">
        <v>82</v>
      </c>
    </row>
    <row r="87" spans="15:16" ht="14.25" customHeight="1" x14ac:dyDescent="0.25">
      <c r="O87" s="2"/>
    </row>
    <row r="88" spans="15:16" ht="14.25" customHeight="1" x14ac:dyDescent="0.25"/>
    <row r="89" spans="15:16" ht="14.25" customHeight="1" x14ac:dyDescent="0.25"/>
    <row r="90" spans="15:16" ht="14.25" customHeight="1" x14ac:dyDescent="0.25"/>
    <row r="91" spans="15:16" ht="14.25" customHeight="1" x14ac:dyDescent="0.25"/>
    <row r="92" spans="15:16" ht="14.25" customHeight="1" x14ac:dyDescent="0.25"/>
    <row r="93" spans="15:16" ht="14.25" customHeight="1" x14ac:dyDescent="0.25"/>
    <row r="94" spans="15:16" ht="14.25" customHeight="1" x14ac:dyDescent="0.25"/>
    <row r="95" spans="15:16" ht="14.25" customHeight="1" x14ac:dyDescent="0.25"/>
    <row r="96" spans="15:1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  <row r="101" ht="14.25" customHeight="1" x14ac:dyDescent="0.25"/>
    <row r="102" ht="14.25" customHeight="1" x14ac:dyDescent="0.25"/>
    <row r="103" ht="14.25" customHeight="1" x14ac:dyDescent="0.25"/>
    <row r="104" ht="14.25" customHeight="1" x14ac:dyDescent="0.25"/>
    <row r="105" ht="14.25" customHeight="1" x14ac:dyDescent="0.25"/>
    <row r="106" ht="14.25" customHeight="1" x14ac:dyDescent="0.25"/>
    <row r="107" ht="14.25" customHeight="1" x14ac:dyDescent="0.25"/>
    <row r="108" ht="14.25" customHeight="1" x14ac:dyDescent="0.25"/>
    <row r="109" ht="14.25" customHeight="1" x14ac:dyDescent="0.25"/>
    <row r="110" ht="14.25" customHeight="1" x14ac:dyDescent="0.25"/>
    <row r="111" ht="14.25" customHeight="1" x14ac:dyDescent="0.25"/>
    <row r="112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  <row r="1001" ht="14.25" customHeight="1" x14ac:dyDescent="0.25"/>
    <row r="1002" ht="14.25" customHeight="1" x14ac:dyDescent="0.25"/>
    <row r="1003" ht="14.25" customHeight="1" x14ac:dyDescent="0.25"/>
    <row r="1004" ht="14.25" customHeight="1" x14ac:dyDescent="0.25"/>
    <row r="1005" ht="14.25" customHeight="1" x14ac:dyDescent="0.25"/>
    <row r="1006" ht="14.25" customHeight="1" x14ac:dyDescent="0.25"/>
    <row r="1007" ht="14.25" customHeight="1" x14ac:dyDescent="0.25"/>
    <row r="1008" ht="14.25" customHeight="1" x14ac:dyDescent="0.25"/>
    <row r="1009" ht="14.25" customHeight="1" x14ac:dyDescent="0.25"/>
    <row r="1010" ht="14.25" customHeight="1" x14ac:dyDescent="0.25"/>
    <row r="1011" ht="14.25" customHeight="1" x14ac:dyDescent="0.25"/>
    <row r="1012" ht="14.25" customHeight="1" x14ac:dyDescent="0.25"/>
    <row r="1013" ht="14.25" customHeight="1" x14ac:dyDescent="0.25"/>
    <row r="1014" ht="14.25" customHeight="1" x14ac:dyDescent="0.25"/>
    <row r="1015" ht="14.25" customHeight="1" x14ac:dyDescent="0.25"/>
    <row r="1016" ht="14.25" customHeight="1" x14ac:dyDescent="0.25"/>
    <row r="1017" ht="14.25" customHeight="1" x14ac:dyDescent="0.25"/>
    <row r="1018" ht="14.25" customHeight="1" x14ac:dyDescent="0.25"/>
    <row r="1019" ht="14.25" customHeight="1" x14ac:dyDescent="0.25"/>
    <row r="1020" ht="14.25" customHeight="1" x14ac:dyDescent="0.25"/>
    <row r="1021" ht="14.25" customHeight="1" x14ac:dyDescent="0.25"/>
    <row r="1022" ht="14.25" customHeight="1" x14ac:dyDescent="0.25"/>
    <row r="1023" ht="14.25" customHeight="1" x14ac:dyDescent="0.25"/>
    <row r="1024" ht="14.25" customHeight="1" x14ac:dyDescent="0.25"/>
    <row r="1025" ht="14.25" customHeight="1" x14ac:dyDescent="0.25"/>
    <row r="1026" ht="14.25" customHeight="1" x14ac:dyDescent="0.25"/>
    <row r="1027" ht="14.25" customHeight="1" x14ac:dyDescent="0.25"/>
    <row r="1028" ht="14.25" customHeight="1" x14ac:dyDescent="0.25"/>
    <row r="1029" ht="14.25" customHeight="1" x14ac:dyDescent="0.25"/>
    <row r="1030" ht="14.25" customHeight="1" x14ac:dyDescent="0.25"/>
    <row r="1031" ht="14.25" customHeight="1" x14ac:dyDescent="0.25"/>
    <row r="1032" ht="14.25" customHeight="1" x14ac:dyDescent="0.25"/>
    <row r="1033" ht="14.25" customHeight="1" x14ac:dyDescent="0.25"/>
    <row r="1034" ht="14.25" customHeight="1" x14ac:dyDescent="0.25"/>
    <row r="1035" ht="14.25" customHeight="1" x14ac:dyDescent="0.25"/>
    <row r="1036" ht="14.25" customHeight="1" x14ac:dyDescent="0.25"/>
    <row r="1037" ht="14.25" customHeight="1" x14ac:dyDescent="0.25"/>
    <row r="1038" ht="14.25" customHeight="1" x14ac:dyDescent="0.25"/>
    <row r="1039" ht="14.25" customHeight="1" x14ac:dyDescent="0.25"/>
    <row r="1040" ht="14.25" customHeight="1" x14ac:dyDescent="0.25"/>
    <row r="1041" ht="14.25" customHeight="1" x14ac:dyDescent="0.25"/>
    <row r="1042" ht="14.25" customHeight="1" x14ac:dyDescent="0.25"/>
    <row r="1043" ht="14.25" customHeight="1" x14ac:dyDescent="0.25"/>
    <row r="1044" ht="14.25" customHeight="1" x14ac:dyDescent="0.25"/>
    <row r="1045" ht="14.25" customHeight="1" x14ac:dyDescent="0.25"/>
    <row r="1046" ht="14.25" customHeight="1" x14ac:dyDescent="0.25"/>
    <row r="1047" ht="14.25" customHeight="1" x14ac:dyDescent="0.25"/>
    <row r="1048" ht="14.25" customHeight="1" x14ac:dyDescent="0.25"/>
    <row r="1049" ht="14.25" customHeight="1" x14ac:dyDescent="0.25"/>
    <row r="1050" ht="14.25" customHeight="1" x14ac:dyDescent="0.25"/>
    <row r="1051" ht="14.25" customHeight="1" x14ac:dyDescent="0.25"/>
    <row r="1052" ht="14.25" customHeight="1" x14ac:dyDescent="0.25"/>
    <row r="1053" ht="14.25" customHeight="1" x14ac:dyDescent="0.25"/>
    <row r="1054" ht="14.25" customHeight="1" x14ac:dyDescent="0.25"/>
    <row r="1055" ht="14.25" customHeight="1" x14ac:dyDescent="0.25"/>
    <row r="1056" ht="14.25" customHeight="1" x14ac:dyDescent="0.25"/>
    <row r="1057" ht="14.25" customHeight="1" x14ac:dyDescent="0.25"/>
    <row r="1058" ht="14.25" customHeight="1" x14ac:dyDescent="0.25"/>
    <row r="1059" ht="14.25" customHeight="1" x14ac:dyDescent="0.25"/>
    <row r="1060" ht="14.25" customHeight="1" x14ac:dyDescent="0.25"/>
    <row r="1061" ht="14.25" customHeight="1" x14ac:dyDescent="0.25"/>
    <row r="1062" ht="14.25" customHeight="1" x14ac:dyDescent="0.25"/>
    <row r="1063" ht="14.25" customHeight="1" x14ac:dyDescent="0.25"/>
    <row r="1064" ht="14.25" customHeight="1" x14ac:dyDescent="0.25"/>
    <row r="1065" ht="14.25" customHeight="1" x14ac:dyDescent="0.25"/>
    <row r="1066" ht="14.25" customHeight="1" x14ac:dyDescent="0.25"/>
    <row r="1067" ht="14.25" customHeight="1" x14ac:dyDescent="0.25"/>
    <row r="1068" ht="14.25" customHeight="1" x14ac:dyDescent="0.25"/>
    <row r="1069" ht="14.25" customHeight="1" x14ac:dyDescent="0.25"/>
    <row r="1070" ht="14.25" customHeight="1" x14ac:dyDescent="0.25"/>
    <row r="1071" ht="14.25" customHeight="1" x14ac:dyDescent="0.25"/>
    <row r="1072" ht="14.25" customHeight="1" x14ac:dyDescent="0.25"/>
    <row r="1073" ht="14.25" customHeight="1" x14ac:dyDescent="0.25"/>
    <row r="1074" ht="14.25" customHeight="1" x14ac:dyDescent="0.25"/>
    <row r="1075" ht="14.25" customHeight="1" x14ac:dyDescent="0.25"/>
    <row r="1076" ht="14.25" customHeight="1" x14ac:dyDescent="0.25"/>
    <row r="1077" ht="14.25" customHeight="1" x14ac:dyDescent="0.25"/>
    <row r="1078" ht="14.25" customHeight="1" x14ac:dyDescent="0.25"/>
    <row r="1079" ht="14.25" customHeight="1" x14ac:dyDescent="0.25"/>
    <row r="1080" ht="14.25" customHeight="1" x14ac:dyDescent="0.25"/>
    <row r="1081" ht="14.25" customHeight="1" x14ac:dyDescent="0.25"/>
    <row r="1082" ht="14.25" customHeight="1" x14ac:dyDescent="0.25"/>
    <row r="1083" ht="14.25" customHeight="1" x14ac:dyDescent="0.25"/>
    <row r="1084" ht="14.25" customHeight="1" x14ac:dyDescent="0.25"/>
    <row r="1085" ht="14.25" customHeight="1" x14ac:dyDescent="0.25"/>
    <row r="1086" ht="14.25" customHeight="1" x14ac:dyDescent="0.25"/>
    <row r="1087" ht="14.25" customHeight="1" x14ac:dyDescent="0.25"/>
    <row r="1088" ht="14.25" customHeight="1" x14ac:dyDescent="0.25"/>
    <row r="1089" ht="14.25" customHeight="1" x14ac:dyDescent="0.25"/>
    <row r="1090" ht="14.25" customHeight="1" x14ac:dyDescent="0.25"/>
    <row r="1091" ht="14.25" customHeight="1" x14ac:dyDescent="0.25"/>
    <row r="1092" ht="14.25" customHeight="1" x14ac:dyDescent="0.25"/>
    <row r="1093" ht="14.25" customHeight="1" x14ac:dyDescent="0.25"/>
    <row r="1094" ht="14.25" customHeight="1" x14ac:dyDescent="0.25"/>
    <row r="1095" ht="14.25" customHeight="1" x14ac:dyDescent="0.25"/>
    <row r="1096" ht="14.25" customHeight="1" x14ac:dyDescent="0.25"/>
  </sheetData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stawDane_Makro">
                <anchor moveWithCells="1">
                  <from>
                    <xdr:col>8</xdr:col>
                    <xdr:colOff>476250</xdr:colOff>
                    <xdr:row>4</xdr:row>
                    <xdr:rowOff>19050</xdr:rowOff>
                  </from>
                  <to>
                    <xdr:col>11</xdr:col>
                    <xdr:colOff>438150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C6B9C-FE10-49AD-8269-B7EA89DDB2F2}">
  <sheetPr codeName="Sheet3"/>
  <dimension ref="A1:N53"/>
  <sheetViews>
    <sheetView zoomScale="80" zoomScaleNormal="80" workbookViewId="0">
      <selection activeCell="B18" sqref="B18"/>
    </sheetView>
  </sheetViews>
  <sheetFormatPr defaultRowHeight="15" x14ac:dyDescent="0.25"/>
  <cols>
    <col min="2" max="2" width="39.42578125" customWidth="1"/>
    <col min="3" max="3" width="64.28515625" customWidth="1"/>
  </cols>
  <sheetData>
    <row r="1" spans="2:3" ht="25.15" customHeight="1" x14ac:dyDescent="0.25"/>
    <row r="2" spans="2:3" ht="9.6" customHeight="1" x14ac:dyDescent="0.25"/>
    <row r="5" spans="2:3" ht="18.75" x14ac:dyDescent="0.3">
      <c r="C5" s="55"/>
    </row>
    <row r="6" spans="2:3" x14ac:dyDescent="0.25">
      <c r="B6" s="54" t="s">
        <v>60</v>
      </c>
    </row>
    <row r="7" spans="2:3" x14ac:dyDescent="0.25">
      <c r="B7" t="s">
        <v>45</v>
      </c>
      <c r="C7" s="49" cm="1">
        <f t="array" ref="C7">CountValueWithColumnACondition("w(0)", "Irek")</f>
        <v>31</v>
      </c>
    </row>
    <row r="8" spans="2:3" x14ac:dyDescent="0.25">
      <c r="B8" t="s">
        <v>46</v>
      </c>
      <c r="C8" cm="1">
        <f t="array" ref="C8">CountValueWithColumnACondition("w(0)", "Marcin")</f>
        <v>11</v>
      </c>
    </row>
    <row r="9" spans="2:3" x14ac:dyDescent="0.25">
      <c r="B9" t="s">
        <v>47</v>
      </c>
      <c r="C9" cm="1">
        <f t="array" ref="C9">CountValueWithColumnACondition("w(0)", "Rysiek")</f>
        <v>29</v>
      </c>
    </row>
    <row r="10" spans="2:3" x14ac:dyDescent="0.25">
      <c r="B10" t="s">
        <v>75</v>
      </c>
      <c r="C10" cm="1">
        <f t="array" ref="C10">CountValueWithColumnACondition("w(0)", "Piotr")</f>
        <v>35</v>
      </c>
    </row>
    <row r="11" spans="2:3" x14ac:dyDescent="0.25">
      <c r="B11" s="54" t="s">
        <v>61</v>
      </c>
    </row>
    <row r="12" spans="2:3" x14ac:dyDescent="0.25">
      <c r="B12" s="50" t="s">
        <v>40</v>
      </c>
      <c r="C12" cm="1">
        <f t="array" ref="C12">CountValueWithColumnACondition("w(15)", "Irek")</f>
        <v>57</v>
      </c>
    </row>
    <row r="13" spans="2:3" x14ac:dyDescent="0.25">
      <c r="B13" s="50" t="s">
        <v>41</v>
      </c>
      <c r="C13" cm="1">
        <f t="array" ref="C13">CountValueWithColumnACondition("w(15)", "Marcin")</f>
        <v>17</v>
      </c>
    </row>
    <row r="14" spans="2:3" x14ac:dyDescent="0.25">
      <c r="B14" s="50" t="s">
        <v>42</v>
      </c>
      <c r="C14" cm="1">
        <f t="array" ref="C14">CountValueWithColumnACondition("w(15)", "Rysiek")</f>
        <v>53</v>
      </c>
    </row>
    <row r="15" spans="2:3" x14ac:dyDescent="0.25">
      <c r="B15" s="89" t="s">
        <v>76</v>
      </c>
      <c r="C15" cm="1">
        <f t="array" ref="C15">CountValueWithColumnACondition("w(15)", "Piotr")</f>
        <v>49</v>
      </c>
    </row>
    <row r="16" spans="2:3" x14ac:dyDescent="0.25">
      <c r="B16" s="54" t="s">
        <v>62</v>
      </c>
    </row>
    <row r="17" spans="1:14" x14ac:dyDescent="0.25">
      <c r="B17" s="50" t="s">
        <v>37</v>
      </c>
      <c r="C17" cm="1">
        <f t="array" ref="C17">CountValueWithColumnACondition("w(30)", "Irek")</f>
        <v>59</v>
      </c>
    </row>
    <row r="18" spans="1:14" x14ac:dyDescent="0.25">
      <c r="B18" s="50" t="s">
        <v>38</v>
      </c>
      <c r="C18" cm="1">
        <f t="array" ref="C18">CountValueWithColumnACondition("w(30)", "Marcin")</f>
        <v>20</v>
      </c>
    </row>
    <row r="19" spans="1:14" x14ac:dyDescent="0.25">
      <c r="B19" s="50" t="s">
        <v>39</v>
      </c>
      <c r="C19" s="34" cm="1">
        <f t="array" ref="C19">CountValueWithColumnACondition("w(30)", "Rysiek")</f>
        <v>64</v>
      </c>
    </row>
    <row r="20" spans="1:14" x14ac:dyDescent="0.25">
      <c r="B20" s="89" t="s">
        <v>77</v>
      </c>
      <c r="C20" s="34" cm="1">
        <f t="array" ref="C20">CountValueWithColumnACondition("w(30)", "Piotr")</f>
        <v>75</v>
      </c>
    </row>
    <row r="21" spans="1:14" x14ac:dyDescent="0.25">
      <c r="B21" s="54" t="s">
        <v>63</v>
      </c>
    </row>
    <row r="22" spans="1:14" x14ac:dyDescent="0.25">
      <c r="B22" s="50" t="s">
        <v>36</v>
      </c>
      <c r="C22" cm="1">
        <f t="array" ref="C22">CountValueWithColumnACondition("w(z)", "Irek")</f>
        <v>70</v>
      </c>
    </row>
    <row r="23" spans="1:14" x14ac:dyDescent="0.25">
      <c r="B23" s="50" t="s">
        <v>43</v>
      </c>
      <c r="C23" cm="1">
        <f t="array" ref="C23">CountValueWithColumnACondition("w(z)", "Marcin")</f>
        <v>35</v>
      </c>
    </row>
    <row r="24" spans="1:14" x14ac:dyDescent="0.25">
      <c r="B24" s="50" t="s">
        <v>44</v>
      </c>
      <c r="C24" cm="1">
        <f t="array" ref="C24">CountValueWithColumnACondition("w(z)", "Rysiek")</f>
        <v>66</v>
      </c>
    </row>
    <row r="25" spans="1:14" x14ac:dyDescent="0.25">
      <c r="B25" s="89" t="s">
        <v>78</v>
      </c>
      <c r="C25" cm="1">
        <f t="array" ref="C25">CountValueWithColumnACondition("w(z)", "Piotr")</f>
        <v>43</v>
      </c>
    </row>
    <row r="26" spans="1:14" x14ac:dyDescent="0.25">
      <c r="B26" s="54" t="s">
        <v>64</v>
      </c>
    </row>
    <row r="27" spans="1:14" x14ac:dyDescent="0.25">
      <c r="A27" s="87"/>
      <c r="B27" s="53" t="s">
        <v>7</v>
      </c>
      <c r="C27">
        <f>SUM(C7,C12,C17,C22)</f>
        <v>217</v>
      </c>
      <c r="F27" s="87"/>
    </row>
    <row r="28" spans="1:14" x14ac:dyDescent="0.25">
      <c r="A28" s="87"/>
      <c r="B28" s="53" t="s">
        <v>8</v>
      </c>
      <c r="C28">
        <f>SUM(C8,C13,C18,C23)</f>
        <v>83</v>
      </c>
      <c r="N28" s="111" t="s">
        <v>82</v>
      </c>
    </row>
    <row r="29" spans="1:14" x14ac:dyDescent="0.25">
      <c r="B29" s="53" t="s">
        <v>6</v>
      </c>
      <c r="C29">
        <f>SUM(C9,C14,C19,C24)</f>
        <v>212</v>
      </c>
    </row>
    <row r="30" spans="1:14" x14ac:dyDescent="0.25">
      <c r="B30" s="89" t="s">
        <v>67</v>
      </c>
      <c r="C30">
        <f>SUM(C10,C15,C20,C25)</f>
        <v>202</v>
      </c>
    </row>
    <row r="31" spans="1:14" x14ac:dyDescent="0.25">
      <c r="B31" s="54" t="s">
        <v>65</v>
      </c>
    </row>
    <row r="32" spans="1:14" x14ac:dyDescent="0.25">
      <c r="B32" s="52" t="s">
        <v>48</v>
      </c>
      <c r="C32" cm="1">
        <f t="array" ref="C32">CountWins("Irek","Marcin")</f>
        <v>70</v>
      </c>
    </row>
    <row r="33" spans="2:3" x14ac:dyDescent="0.25">
      <c r="B33" s="51" t="s">
        <v>49</v>
      </c>
      <c r="C33" cm="1">
        <f t="array" ref="C33">CountWins("Marcin","Irek")</f>
        <v>42</v>
      </c>
    </row>
    <row r="34" spans="2:3" x14ac:dyDescent="0.25">
      <c r="B34" s="51" t="s">
        <v>52</v>
      </c>
      <c r="C34" cm="1">
        <f t="array" ref="C34">CountWins("Marcin","Rysiek")</f>
        <v>32</v>
      </c>
    </row>
    <row r="35" spans="2:3" x14ac:dyDescent="0.25">
      <c r="B35" s="51" t="s">
        <v>53</v>
      </c>
      <c r="C35" cm="1">
        <f t="array" ref="C35">CountWins("Rysiek","Marcin")</f>
        <v>68</v>
      </c>
    </row>
    <row r="36" spans="2:3" x14ac:dyDescent="0.25">
      <c r="B36" s="51" t="s">
        <v>50</v>
      </c>
      <c r="C36" cm="1">
        <f t="array" ref="C36">CountWins("Irek","Rysiek")</f>
        <v>85</v>
      </c>
    </row>
    <row r="37" spans="2:3" x14ac:dyDescent="0.25">
      <c r="B37" s="51" t="s">
        <v>51</v>
      </c>
      <c r="C37" cm="1">
        <f t="array" ref="C37">CountWins("Rysiek","Irek")</f>
        <v>96</v>
      </c>
    </row>
    <row r="38" spans="2:3" x14ac:dyDescent="0.25">
      <c r="B38" s="88" t="s">
        <v>69</v>
      </c>
      <c r="C38" cm="1">
        <f t="array" ref="C38">CountWins("Irek","Piotr")</f>
        <v>62</v>
      </c>
    </row>
    <row r="39" spans="2:3" x14ac:dyDescent="0.25">
      <c r="B39" s="88" t="s">
        <v>70</v>
      </c>
      <c r="C39" cm="1">
        <f t="array" ref="C39">CountWins("Piotr","Irek")</f>
        <v>77</v>
      </c>
    </row>
    <row r="40" spans="2:3" x14ac:dyDescent="0.25">
      <c r="B40" s="88" t="s">
        <v>71</v>
      </c>
      <c r="C40" cm="1">
        <f t="array" ref="C40">CountWins("MArcin","Piotr")</f>
        <v>9</v>
      </c>
    </row>
    <row r="41" spans="2:3" x14ac:dyDescent="0.25">
      <c r="B41" s="88" t="s">
        <v>72</v>
      </c>
      <c r="C41" cm="1">
        <f t="array" ref="C41">CountWins("Piotr","Marcin")</f>
        <v>46</v>
      </c>
    </row>
    <row r="42" spans="2:3" x14ac:dyDescent="0.25">
      <c r="B42" s="88" t="s">
        <v>73</v>
      </c>
      <c r="C42" cm="1">
        <f t="array" ref="C42">CountWins("Rysiek","Piotr")</f>
        <v>50</v>
      </c>
    </row>
    <row r="43" spans="2:3" x14ac:dyDescent="0.25">
      <c r="B43" s="88" t="s">
        <v>74</v>
      </c>
      <c r="C43" cm="1">
        <f t="array" ref="C43">CountWins("Piotr","Rysiek")</f>
        <v>79</v>
      </c>
    </row>
    <row r="44" spans="2:3" x14ac:dyDescent="0.25">
      <c r="B44" s="88"/>
    </row>
    <row r="45" spans="2:3" x14ac:dyDescent="0.25">
      <c r="B45" s="54" t="s">
        <v>81</v>
      </c>
    </row>
    <row r="46" spans="2:3" x14ac:dyDescent="0.25">
      <c r="B46" s="59" t="s">
        <v>54</v>
      </c>
      <c r="C46" cm="1">
        <f t="array" ref="C46">CountCellsStartingWithWwhereColumnSorO("Irek","s")</f>
        <v>111</v>
      </c>
    </row>
    <row r="47" spans="2:3" x14ac:dyDescent="0.25">
      <c r="B47" s="53" t="s">
        <v>55</v>
      </c>
      <c r="C47" cm="1">
        <f t="array" ref="C47">CountCellsStartingWithWwhereColumnSorO("Irek","o")</f>
        <v>106</v>
      </c>
    </row>
    <row r="48" spans="2:3" x14ac:dyDescent="0.25">
      <c r="B48" s="53" t="s">
        <v>56</v>
      </c>
      <c r="C48" cm="1">
        <f t="array" ref="C48">CountCellsStartingWithWwhereColumnSorO("Rysiek","s")</f>
        <v>115</v>
      </c>
    </row>
    <row r="49" spans="2:3" x14ac:dyDescent="0.25">
      <c r="B49" s="53" t="s">
        <v>57</v>
      </c>
      <c r="C49" cm="1">
        <f t="array" ref="C49">CountCellsStartingWithWwhereColumnSorO("Rysiek","o")</f>
        <v>99</v>
      </c>
    </row>
    <row r="50" spans="2:3" x14ac:dyDescent="0.25">
      <c r="B50" s="53" t="s">
        <v>58</v>
      </c>
      <c r="C50" cm="1">
        <f t="array" ref="C50">CountCellsStartingWithWwhereColumnSorO("Marcin","s")</f>
        <v>41</v>
      </c>
    </row>
    <row r="51" spans="2:3" x14ac:dyDescent="0.25">
      <c r="B51" s="53" t="s">
        <v>59</v>
      </c>
      <c r="C51" cm="1">
        <f t="array" ref="C51">CountCellsStartingWithWwhereColumnSorO("Marcin","o")</f>
        <v>42</v>
      </c>
    </row>
    <row r="52" spans="2:3" x14ac:dyDescent="0.25">
      <c r="B52" s="89" t="s">
        <v>79</v>
      </c>
      <c r="C52" cm="1">
        <f t="array" ref="C52">CountCellsStartingWithWwhereColumnSorO("Piotr","s")</f>
        <v>95</v>
      </c>
    </row>
    <row r="53" spans="2:3" x14ac:dyDescent="0.25">
      <c r="B53" s="89" t="s">
        <v>80</v>
      </c>
      <c r="C53" cm="1">
        <f t="array" ref="C53">CountCellsStartingWithWwhereColumnSorO("Piotr","o")</f>
        <v>107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AllCalculations">
                <anchor moveWithCells="1">
                  <from>
                    <xdr:col>5</xdr:col>
                    <xdr:colOff>419100</xdr:colOff>
                    <xdr:row>4</xdr:row>
                    <xdr:rowOff>161925</xdr:rowOff>
                  </from>
                  <to>
                    <xdr:col>9</xdr:col>
                    <xdr:colOff>400050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Z1006"/>
  <sheetViews>
    <sheetView topLeftCell="A65" workbookViewId="0">
      <selection activeCell="A8" sqref="A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7" width="12.28515625" style="37" customWidth="1"/>
    <col min="8" max="8" width="14" style="37" customWidth="1"/>
    <col min="9" max="26" width="8.7109375" style="37" customWidth="1"/>
    <col min="27" max="16384" width="14.42578125" style="37"/>
  </cols>
  <sheetData>
    <row r="2" spans="1:8" ht="38.25" x14ac:dyDescent="0.35">
      <c r="A2" s="35"/>
      <c r="B2" s="35"/>
      <c r="C2" s="35" t="s">
        <v>16</v>
      </c>
      <c r="D2" s="35"/>
      <c r="E2" s="35"/>
      <c r="F2" s="35"/>
      <c r="G2" s="35"/>
      <c r="H2" s="36" t="s">
        <v>17</v>
      </c>
    </row>
    <row r="3" spans="1:8" ht="21" x14ac:dyDescent="0.35">
      <c r="A3" s="35"/>
      <c r="B3" s="26" t="s">
        <v>18</v>
      </c>
      <c r="C3" s="26" t="s">
        <v>19</v>
      </c>
      <c r="D3" s="27" t="s">
        <v>18</v>
      </c>
      <c r="E3" s="27" t="s">
        <v>19</v>
      </c>
      <c r="F3" s="35" t="s">
        <v>18</v>
      </c>
      <c r="G3" s="35" t="s">
        <v>19</v>
      </c>
      <c r="H3" s="38"/>
    </row>
    <row r="4" spans="1:8" ht="21" x14ac:dyDescent="0.35">
      <c r="A4" s="39" t="s">
        <v>7</v>
      </c>
      <c r="B4" s="26" t="s">
        <v>20</v>
      </c>
      <c r="C4" s="26"/>
      <c r="D4" s="27"/>
      <c r="E4" s="27"/>
      <c r="F4" s="28" t="s">
        <v>21</v>
      </c>
      <c r="G4" s="28"/>
      <c r="H4" s="40">
        <f>COUNTIF(B4:G4,"w*")</f>
        <v>0</v>
      </c>
    </row>
    <row r="5" spans="1:8" ht="21" x14ac:dyDescent="0.35">
      <c r="A5" s="39" t="s">
        <v>8</v>
      </c>
      <c r="B5" s="26" t="s">
        <v>21</v>
      </c>
      <c r="C5" s="26"/>
      <c r="D5" s="27" t="s">
        <v>20</v>
      </c>
      <c r="E5" s="27"/>
      <c r="F5" s="28"/>
      <c r="G5" s="28"/>
      <c r="H5" s="40">
        <f>COUNTIF(B5:G5,"w*")</f>
        <v>0</v>
      </c>
    </row>
    <row r="6" spans="1:8" ht="21" x14ac:dyDescent="0.35">
      <c r="A6" s="41" t="s">
        <v>6</v>
      </c>
      <c r="B6" s="29"/>
      <c r="C6" s="29"/>
      <c r="D6" s="30" t="s">
        <v>21</v>
      </c>
      <c r="E6" s="30"/>
      <c r="F6" s="31" t="s">
        <v>20</v>
      </c>
      <c r="G6" s="31"/>
      <c r="H6" s="40">
        <f>COUNTIF(B6:G6,"w*")</f>
        <v>0</v>
      </c>
    </row>
    <row r="7" spans="1:8" ht="21" x14ac:dyDescent="0.35">
      <c r="A7" s="42"/>
      <c r="B7" s="42"/>
      <c r="C7" s="42"/>
      <c r="D7" s="42"/>
      <c r="E7" s="42"/>
      <c r="F7" s="42"/>
      <c r="G7" s="42"/>
      <c r="H7" s="43"/>
    </row>
    <row r="8" spans="1:8" ht="21" x14ac:dyDescent="0.35">
      <c r="A8" s="44"/>
      <c r="B8" s="44"/>
      <c r="C8" s="44" t="s">
        <v>22</v>
      </c>
      <c r="D8" s="44"/>
      <c r="E8" s="44"/>
      <c r="F8" s="44"/>
      <c r="G8" s="44"/>
      <c r="H8" s="45"/>
    </row>
    <row r="9" spans="1:8" ht="21" x14ac:dyDescent="0.35">
      <c r="A9" s="35"/>
      <c r="B9" s="26" t="s">
        <v>18</v>
      </c>
      <c r="C9" s="26" t="s">
        <v>19</v>
      </c>
      <c r="D9" s="27" t="s">
        <v>18</v>
      </c>
      <c r="E9" s="27" t="s">
        <v>19</v>
      </c>
      <c r="F9" s="35" t="s">
        <v>18</v>
      </c>
      <c r="G9" s="35" t="s">
        <v>19</v>
      </c>
      <c r="H9" s="45"/>
    </row>
    <row r="10" spans="1:8" ht="21" x14ac:dyDescent="0.35">
      <c r="A10" s="39" t="s">
        <v>7</v>
      </c>
      <c r="B10" s="26" t="s">
        <v>21</v>
      </c>
      <c r="C10" s="26"/>
      <c r="D10" s="27"/>
      <c r="E10" s="27"/>
      <c r="F10" s="28" t="s">
        <v>20</v>
      </c>
      <c r="G10" s="28"/>
      <c r="H10" s="43">
        <f>COUNTIF(B10:G10,"w*")</f>
        <v>0</v>
      </c>
    </row>
    <row r="11" spans="1:8" ht="21" x14ac:dyDescent="0.35">
      <c r="A11" s="39" t="s">
        <v>8</v>
      </c>
      <c r="B11" s="26" t="s">
        <v>20</v>
      </c>
      <c r="C11" s="26"/>
      <c r="D11" s="27" t="s">
        <v>21</v>
      </c>
      <c r="E11" s="27"/>
      <c r="F11" s="28"/>
      <c r="G11" s="28"/>
      <c r="H11" s="43">
        <f>COUNTIF(B11:G11,"w*")</f>
        <v>0</v>
      </c>
    </row>
    <row r="12" spans="1:8" ht="21" x14ac:dyDescent="0.35">
      <c r="A12" s="39" t="s">
        <v>6</v>
      </c>
      <c r="B12" s="26"/>
      <c r="C12" s="26"/>
      <c r="D12" s="27" t="s">
        <v>20</v>
      </c>
      <c r="E12" s="27"/>
      <c r="F12" s="28" t="s">
        <v>21</v>
      </c>
      <c r="G12" s="28"/>
      <c r="H12" s="43">
        <f>COUNTIF(B12:G12,"w*")</f>
        <v>0</v>
      </c>
    </row>
    <row r="13" spans="1:8" ht="21" x14ac:dyDescent="0.35">
      <c r="A13" s="42"/>
      <c r="B13" s="42"/>
      <c r="C13" s="42"/>
      <c r="D13" s="42"/>
      <c r="E13" s="42"/>
      <c r="F13" s="42"/>
      <c r="G13" s="42"/>
      <c r="H13" s="43"/>
    </row>
    <row r="14" spans="1:8" ht="21" x14ac:dyDescent="0.35">
      <c r="A14" s="35"/>
      <c r="B14" s="35"/>
      <c r="C14" s="35" t="s">
        <v>23</v>
      </c>
      <c r="D14" s="35"/>
      <c r="E14" s="35"/>
      <c r="F14" s="35"/>
      <c r="G14" s="35"/>
      <c r="H14" s="45"/>
    </row>
    <row r="15" spans="1:8" ht="21" x14ac:dyDescent="0.35">
      <c r="A15" s="35"/>
      <c r="B15" s="26" t="s">
        <v>18</v>
      </c>
      <c r="C15" s="26" t="s">
        <v>19</v>
      </c>
      <c r="D15" s="27" t="s">
        <v>18</v>
      </c>
      <c r="E15" s="27" t="s">
        <v>19</v>
      </c>
      <c r="F15" s="35" t="s">
        <v>18</v>
      </c>
      <c r="G15" s="35" t="s">
        <v>19</v>
      </c>
      <c r="H15" s="45"/>
    </row>
    <row r="16" spans="1:8" ht="21" x14ac:dyDescent="0.35">
      <c r="A16" s="39" t="s">
        <v>7</v>
      </c>
      <c r="B16" s="26" t="s">
        <v>20</v>
      </c>
      <c r="C16" s="26"/>
      <c r="D16" s="27"/>
      <c r="E16" s="27"/>
      <c r="F16" s="28" t="s">
        <v>21</v>
      </c>
      <c r="G16" s="28"/>
      <c r="H16" s="43">
        <f>COUNTIF(B16:G16,"w*")</f>
        <v>0</v>
      </c>
    </row>
    <row r="17" spans="1:26" ht="21" x14ac:dyDescent="0.35">
      <c r="A17" s="39" t="s">
        <v>8</v>
      </c>
      <c r="B17" s="26" t="s">
        <v>21</v>
      </c>
      <c r="C17" s="26"/>
      <c r="D17" s="27" t="s">
        <v>20</v>
      </c>
      <c r="E17" s="27"/>
      <c r="F17" s="28"/>
      <c r="G17" s="28"/>
      <c r="H17" s="43">
        <f>COUNTIF(B17:G17,"w*")</f>
        <v>0</v>
      </c>
    </row>
    <row r="18" spans="1:26" ht="21" x14ac:dyDescent="0.35">
      <c r="A18" s="39" t="s">
        <v>6</v>
      </c>
      <c r="B18" s="26"/>
      <c r="C18" s="26"/>
      <c r="D18" s="27" t="s">
        <v>21</v>
      </c>
      <c r="E18" s="27"/>
      <c r="F18" s="28" t="s">
        <v>20</v>
      </c>
      <c r="G18" s="28"/>
      <c r="H18" s="43">
        <f>COUNTIF(B18:G18,"w*")</f>
        <v>0</v>
      </c>
    </row>
    <row r="19" spans="1:26" ht="21" x14ac:dyDescent="0.35">
      <c r="A19" s="42"/>
      <c r="B19" s="42"/>
      <c r="C19" s="42"/>
      <c r="D19" s="42"/>
      <c r="E19" s="42"/>
      <c r="F19" s="42"/>
      <c r="G19" s="42"/>
      <c r="H19" s="43"/>
    </row>
    <row r="20" spans="1:26" ht="21" x14ac:dyDescent="0.35">
      <c r="A20" s="35"/>
      <c r="B20" s="35"/>
      <c r="C20" s="35" t="s">
        <v>24</v>
      </c>
      <c r="D20" s="35"/>
      <c r="E20" s="35"/>
      <c r="F20" s="35"/>
      <c r="G20" s="35"/>
      <c r="H20" s="45"/>
    </row>
    <row r="21" spans="1:26" ht="15.75" customHeight="1" x14ac:dyDescent="0.35">
      <c r="A21" s="35"/>
      <c r="B21" s="26" t="s">
        <v>18</v>
      </c>
      <c r="C21" s="26" t="s">
        <v>19</v>
      </c>
      <c r="D21" s="27" t="s">
        <v>18</v>
      </c>
      <c r="E21" s="27" t="s">
        <v>19</v>
      </c>
      <c r="F21" s="35" t="s">
        <v>18</v>
      </c>
      <c r="G21" s="35" t="s">
        <v>19</v>
      </c>
      <c r="H21" s="45"/>
    </row>
    <row r="22" spans="1:26" ht="15.75" customHeight="1" x14ac:dyDescent="0.35">
      <c r="A22" s="39" t="s">
        <v>7</v>
      </c>
      <c r="B22" s="26" t="s">
        <v>21</v>
      </c>
      <c r="C22" s="26"/>
      <c r="D22" s="27"/>
      <c r="E22" s="27"/>
      <c r="F22" s="28" t="s">
        <v>20</v>
      </c>
      <c r="G22" s="28"/>
      <c r="H22" s="43">
        <f>COUNTIF(B22:G22,"w*")</f>
        <v>0</v>
      </c>
    </row>
    <row r="23" spans="1:26" ht="15.75" customHeight="1" x14ac:dyDescent="0.35">
      <c r="A23" s="39" t="s">
        <v>8</v>
      </c>
      <c r="B23" s="26" t="s">
        <v>20</v>
      </c>
      <c r="C23" s="26"/>
      <c r="D23" s="27" t="s">
        <v>21</v>
      </c>
      <c r="E23" s="27"/>
      <c r="F23" s="28"/>
      <c r="G23" s="28"/>
      <c r="H23" s="43">
        <f>COUNTIF(B23:G23,"w*")</f>
        <v>0</v>
      </c>
    </row>
    <row r="24" spans="1:26" ht="15.75" customHeight="1" x14ac:dyDescent="0.35">
      <c r="A24" s="39" t="s">
        <v>6</v>
      </c>
      <c r="B24" s="26"/>
      <c r="C24" s="26"/>
      <c r="D24" s="27" t="s">
        <v>20</v>
      </c>
      <c r="E24" s="27"/>
      <c r="F24" s="28" t="s">
        <v>21</v>
      </c>
      <c r="G24" s="28"/>
      <c r="H24" s="43">
        <f>COUNTIF(B24:G24,"w*")</f>
        <v>0</v>
      </c>
    </row>
    <row r="25" spans="1:26" ht="15.75" customHeight="1" x14ac:dyDescent="0.35">
      <c r="A25" s="42"/>
      <c r="B25" s="42"/>
      <c r="C25" s="42"/>
      <c r="D25" s="42"/>
      <c r="E25" s="42"/>
      <c r="F25" s="42"/>
      <c r="G25" s="42"/>
      <c r="H25" s="43"/>
    </row>
    <row r="26" spans="1:26" ht="15.75" customHeight="1" x14ac:dyDescent="0.35">
      <c r="A26" s="35"/>
      <c r="B26" s="35"/>
      <c r="C26" s="35" t="s">
        <v>25</v>
      </c>
      <c r="D26" s="35"/>
      <c r="E26" s="35"/>
      <c r="F26" s="35"/>
      <c r="G26" s="35"/>
      <c r="H26" s="45"/>
    </row>
    <row r="27" spans="1:26" ht="15.75" customHeight="1" x14ac:dyDescent="0.35">
      <c r="A27" s="35"/>
      <c r="B27" s="26" t="s">
        <v>18</v>
      </c>
      <c r="C27" s="26" t="s">
        <v>19</v>
      </c>
      <c r="D27" s="27" t="s">
        <v>18</v>
      </c>
      <c r="E27" s="27" t="s">
        <v>19</v>
      </c>
      <c r="F27" s="35" t="s">
        <v>18</v>
      </c>
      <c r="G27" s="35" t="s">
        <v>19</v>
      </c>
      <c r="H27" s="45"/>
    </row>
    <row r="28" spans="1:26" ht="15.75" customHeight="1" x14ac:dyDescent="0.35">
      <c r="A28" s="39" t="s">
        <v>7</v>
      </c>
      <c r="B28" s="26" t="s">
        <v>20</v>
      </c>
      <c r="C28" s="26"/>
      <c r="D28" s="27"/>
      <c r="E28" s="27"/>
      <c r="F28" s="28" t="s">
        <v>21</v>
      </c>
      <c r="G28" s="28"/>
      <c r="H28" s="43">
        <f>COUNTIF(B28:G28,"w*")</f>
        <v>0</v>
      </c>
    </row>
    <row r="29" spans="1:26" ht="15.75" customHeight="1" x14ac:dyDescent="0.35">
      <c r="A29" s="39" t="s">
        <v>8</v>
      </c>
      <c r="B29" s="26" t="s">
        <v>21</v>
      </c>
      <c r="C29" s="26"/>
      <c r="D29" s="27" t="s">
        <v>20</v>
      </c>
      <c r="E29" s="27"/>
      <c r="F29" s="28"/>
      <c r="G29" s="28"/>
      <c r="H29" s="43">
        <f>COUNTIF(B29:G29,"w*")</f>
        <v>0</v>
      </c>
    </row>
    <row r="30" spans="1:26" ht="15.75" customHeight="1" x14ac:dyDescent="0.35">
      <c r="A30" s="39" t="s">
        <v>6</v>
      </c>
      <c r="B30" s="26"/>
      <c r="C30" s="26"/>
      <c r="D30" s="27" t="s">
        <v>21</v>
      </c>
      <c r="E30" s="27"/>
      <c r="F30" s="28" t="s">
        <v>20</v>
      </c>
      <c r="G30" s="28"/>
      <c r="H30" s="43">
        <f>COUNTIF(B30:G30,"w*")</f>
        <v>0</v>
      </c>
    </row>
    <row r="31" spans="1:26" ht="15.75" customHeight="1" x14ac:dyDescent="0.35">
      <c r="A31" s="42"/>
      <c r="B31" s="42"/>
      <c r="C31" s="42"/>
      <c r="D31" s="42"/>
      <c r="E31" s="42"/>
      <c r="F31" s="42"/>
      <c r="G31" s="42"/>
      <c r="H31" s="43"/>
    </row>
    <row r="32" spans="1:26" ht="15.75" customHeight="1" x14ac:dyDescent="0.35">
      <c r="A32" s="46"/>
      <c r="B32" s="46"/>
      <c r="C32" s="46"/>
      <c r="D32" s="46"/>
      <c r="E32" s="46"/>
      <c r="F32" s="46"/>
      <c r="G32" s="46"/>
      <c r="H32" s="45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</row>
    <row r="33" spans="1:26" ht="15.75" customHeight="1" x14ac:dyDescent="0.35">
      <c r="A33" s="35"/>
      <c r="B33" s="35"/>
      <c r="C33" s="35" t="s">
        <v>26</v>
      </c>
      <c r="D33" s="35"/>
      <c r="E33" s="35"/>
      <c r="F33" s="35"/>
      <c r="G33" s="35"/>
      <c r="H33" s="45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</row>
    <row r="34" spans="1:26" ht="15.75" customHeight="1" x14ac:dyDescent="0.35">
      <c r="A34" s="35"/>
      <c r="B34" s="26" t="s">
        <v>18</v>
      </c>
      <c r="C34" s="26" t="s">
        <v>19</v>
      </c>
      <c r="D34" s="27" t="s">
        <v>18</v>
      </c>
      <c r="E34" s="27" t="s">
        <v>19</v>
      </c>
      <c r="F34" s="28" t="s">
        <v>18</v>
      </c>
      <c r="G34" s="28" t="s">
        <v>19</v>
      </c>
      <c r="H34" s="43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</row>
    <row r="35" spans="1:26" ht="15.75" customHeight="1" x14ac:dyDescent="0.35">
      <c r="A35" s="39" t="s">
        <v>7</v>
      </c>
      <c r="B35" s="26" t="s">
        <v>21</v>
      </c>
      <c r="C35" s="26"/>
      <c r="D35" s="27"/>
      <c r="E35" s="27"/>
      <c r="F35" s="28" t="s">
        <v>20</v>
      </c>
      <c r="G35" s="28"/>
      <c r="H35" s="43">
        <f>COUNTIF(B35:G35,"w*")</f>
        <v>0</v>
      </c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</row>
    <row r="36" spans="1:26" ht="15.75" customHeight="1" x14ac:dyDescent="0.35">
      <c r="A36" s="39" t="s">
        <v>8</v>
      </c>
      <c r="B36" s="26" t="s">
        <v>20</v>
      </c>
      <c r="C36" s="26"/>
      <c r="D36" s="27" t="s">
        <v>21</v>
      </c>
      <c r="E36" s="27"/>
      <c r="F36" s="28"/>
      <c r="G36" s="28"/>
      <c r="H36" s="43">
        <f>COUNTIF(B36:G36,"w*")</f>
        <v>0</v>
      </c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</row>
    <row r="37" spans="1:26" ht="15.75" customHeight="1" x14ac:dyDescent="0.35">
      <c r="A37" s="39" t="s">
        <v>6</v>
      </c>
      <c r="B37" s="29"/>
      <c r="C37" s="29"/>
      <c r="D37" s="30" t="s">
        <v>20</v>
      </c>
      <c r="E37" s="30"/>
      <c r="F37" s="28" t="s">
        <v>21</v>
      </c>
      <c r="G37" s="28"/>
      <c r="H37" s="43">
        <f>COUNTIF(B37:G37,"w*")</f>
        <v>0</v>
      </c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</row>
    <row r="38" spans="1:26" ht="15.75" customHeight="1" x14ac:dyDescent="0.35">
      <c r="A38" s="46"/>
      <c r="B38" s="46"/>
      <c r="C38" s="46"/>
      <c r="D38" s="46"/>
      <c r="E38" s="46"/>
      <c r="F38" s="46"/>
      <c r="G38" s="46"/>
      <c r="H38" s="45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</row>
    <row r="39" spans="1:26" ht="15.75" customHeight="1" x14ac:dyDescent="0.35">
      <c r="A39" s="46"/>
      <c r="B39" s="46"/>
      <c r="C39" s="46"/>
      <c r="D39" s="46"/>
      <c r="E39" s="46"/>
      <c r="F39" s="46"/>
      <c r="G39" s="46"/>
      <c r="H39" s="45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</row>
    <row r="40" spans="1:26" ht="15.75" customHeight="1" x14ac:dyDescent="0.25"/>
    <row r="41" spans="1:26" ht="15.75" customHeight="1" x14ac:dyDescent="0.35">
      <c r="A41" s="39"/>
      <c r="B41" s="35"/>
      <c r="C41" s="35"/>
      <c r="D41" s="35"/>
      <c r="E41" s="35"/>
      <c r="F41" s="35"/>
      <c r="G41" s="35"/>
      <c r="H41" s="45"/>
    </row>
    <row r="42" spans="1:26" ht="15.75" customHeight="1" x14ac:dyDescent="0.35">
      <c r="A42" s="35"/>
      <c r="B42" s="35"/>
      <c r="C42" s="35" t="s">
        <v>27</v>
      </c>
      <c r="D42" s="35"/>
      <c r="E42" s="35"/>
      <c r="F42" s="35"/>
      <c r="G42" s="35"/>
      <c r="H42" s="45"/>
    </row>
    <row r="43" spans="1:26" ht="15.75" customHeight="1" x14ac:dyDescent="0.35">
      <c r="A43" s="35"/>
      <c r="B43" s="26" t="s">
        <v>18</v>
      </c>
      <c r="C43" s="26" t="s">
        <v>19</v>
      </c>
      <c r="D43" s="27" t="s">
        <v>18</v>
      </c>
      <c r="E43" s="27" t="s">
        <v>19</v>
      </c>
      <c r="F43" s="28" t="s">
        <v>18</v>
      </c>
      <c r="G43" s="28" t="s">
        <v>19</v>
      </c>
      <c r="H43" s="43"/>
    </row>
    <row r="44" spans="1:26" ht="15.75" customHeight="1" x14ac:dyDescent="0.35">
      <c r="A44" s="39" t="s">
        <v>7</v>
      </c>
      <c r="B44" s="26" t="s">
        <v>20</v>
      </c>
      <c r="C44" s="26"/>
      <c r="D44" s="27"/>
      <c r="E44" s="27"/>
      <c r="F44" s="28" t="s">
        <v>21</v>
      </c>
      <c r="G44" s="28"/>
      <c r="H44" s="43">
        <f>COUNTIF(B44:G44,"w*")</f>
        <v>0</v>
      </c>
    </row>
    <row r="45" spans="1:26" ht="15.75" customHeight="1" x14ac:dyDescent="0.35">
      <c r="A45" s="39" t="s">
        <v>8</v>
      </c>
      <c r="B45" s="26" t="s">
        <v>21</v>
      </c>
      <c r="C45" s="26"/>
      <c r="D45" s="27" t="s">
        <v>20</v>
      </c>
      <c r="E45" s="27"/>
      <c r="F45" s="28"/>
      <c r="G45" s="28"/>
      <c r="H45" s="43">
        <f>COUNTIF(B45:G45,"w*")</f>
        <v>0</v>
      </c>
    </row>
    <row r="46" spans="1:26" ht="15.75" customHeight="1" x14ac:dyDescent="0.35">
      <c r="A46" s="39" t="s">
        <v>6</v>
      </c>
      <c r="B46" s="29"/>
      <c r="C46" s="29"/>
      <c r="D46" s="30" t="s">
        <v>21</v>
      </c>
      <c r="E46" s="30"/>
      <c r="F46" s="28" t="s">
        <v>20</v>
      </c>
      <c r="G46" s="28"/>
      <c r="H46" s="43">
        <f>COUNTIF(B46:G46,"w*")</f>
        <v>0</v>
      </c>
    </row>
    <row r="47" spans="1:26" ht="15.75" customHeight="1" x14ac:dyDescent="0.35">
      <c r="A47" s="48"/>
      <c r="B47" s="48"/>
      <c r="C47" s="48"/>
      <c r="D47" s="48"/>
      <c r="E47" s="48"/>
      <c r="F47" s="48"/>
      <c r="G47" s="48"/>
      <c r="H47" s="43">
        <f>COUNTIF(B47:G47,"w*")</f>
        <v>0</v>
      </c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</row>
    <row r="48" spans="1:26" ht="15.75" customHeight="1" x14ac:dyDescent="0.35">
      <c r="A48" s="35"/>
      <c r="B48" s="35"/>
      <c r="C48" s="35" t="s">
        <v>28</v>
      </c>
      <c r="D48" s="35"/>
      <c r="E48" s="35"/>
      <c r="F48" s="35"/>
      <c r="G48" s="35"/>
      <c r="H48" s="45"/>
    </row>
    <row r="49" spans="1:26" ht="15.75" customHeight="1" x14ac:dyDescent="0.35">
      <c r="A49" s="35"/>
      <c r="B49" s="26" t="s">
        <v>18</v>
      </c>
      <c r="C49" s="26" t="s">
        <v>19</v>
      </c>
      <c r="D49" s="27" t="s">
        <v>18</v>
      </c>
      <c r="E49" s="27" t="s">
        <v>19</v>
      </c>
      <c r="F49" s="28" t="s">
        <v>18</v>
      </c>
      <c r="G49" s="28" t="s">
        <v>19</v>
      </c>
      <c r="H49" s="45"/>
    </row>
    <row r="50" spans="1:26" ht="15.75" customHeight="1" x14ac:dyDescent="0.35">
      <c r="A50" s="39" t="s">
        <v>7</v>
      </c>
      <c r="B50" s="26" t="s">
        <v>21</v>
      </c>
      <c r="C50" s="26"/>
      <c r="D50" s="27"/>
      <c r="E50" s="27"/>
      <c r="F50" s="28" t="s">
        <v>20</v>
      </c>
      <c r="G50" s="28"/>
      <c r="H50" s="43">
        <f>COUNTIF(B50:G50,"w*")</f>
        <v>0</v>
      </c>
    </row>
    <row r="51" spans="1:26" ht="15.75" customHeight="1" x14ac:dyDescent="0.35">
      <c r="A51" s="39" t="s">
        <v>8</v>
      </c>
      <c r="B51" s="26" t="s">
        <v>20</v>
      </c>
      <c r="C51" s="26"/>
      <c r="D51" s="27" t="s">
        <v>21</v>
      </c>
      <c r="E51" s="27"/>
      <c r="F51" s="28"/>
      <c r="G51" s="28"/>
      <c r="H51" s="43">
        <f>COUNTIF(B51:G51,"w*")</f>
        <v>0</v>
      </c>
    </row>
    <row r="52" spans="1:26" ht="15.75" customHeight="1" x14ac:dyDescent="0.35">
      <c r="A52" s="39" t="s">
        <v>6</v>
      </c>
      <c r="B52" s="29"/>
      <c r="C52" s="29"/>
      <c r="D52" s="30" t="s">
        <v>20</v>
      </c>
      <c r="E52" s="30"/>
      <c r="F52" s="28" t="s">
        <v>21</v>
      </c>
      <c r="G52" s="28"/>
      <c r="H52" s="43">
        <f>COUNTIF(B52:G52,"w*")</f>
        <v>0</v>
      </c>
    </row>
    <row r="53" spans="1:26" ht="15.75" customHeight="1" x14ac:dyDescent="0.35">
      <c r="A53" s="48"/>
      <c r="B53" s="48"/>
      <c r="C53" s="48"/>
      <c r="D53" s="48"/>
      <c r="E53" s="48"/>
      <c r="F53" s="48"/>
      <c r="G53" s="48"/>
      <c r="H53" s="43">
        <f>COUNTIF(B53:G53,"w*")</f>
        <v>0</v>
      </c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</row>
    <row r="54" spans="1:26" ht="15.75" customHeight="1" x14ac:dyDescent="0.35">
      <c r="A54" s="35"/>
      <c r="B54" s="35"/>
      <c r="C54" s="35" t="s">
        <v>29</v>
      </c>
      <c r="D54" s="35"/>
      <c r="E54" s="35"/>
      <c r="F54" s="35"/>
      <c r="G54" s="35"/>
      <c r="H54" s="45"/>
    </row>
    <row r="55" spans="1:26" ht="15.75" customHeight="1" x14ac:dyDescent="0.35">
      <c r="A55" s="35"/>
      <c r="B55" s="26" t="s">
        <v>18</v>
      </c>
      <c r="C55" s="26" t="s">
        <v>19</v>
      </c>
      <c r="D55" s="27" t="s">
        <v>18</v>
      </c>
      <c r="E55" s="27" t="s">
        <v>19</v>
      </c>
      <c r="F55" s="28" t="s">
        <v>18</v>
      </c>
      <c r="G55" s="28" t="s">
        <v>19</v>
      </c>
      <c r="H55" s="43"/>
    </row>
    <row r="56" spans="1:26" ht="15.75" customHeight="1" x14ac:dyDescent="0.35">
      <c r="A56" s="39" t="s">
        <v>7</v>
      </c>
      <c r="B56" s="26" t="s">
        <v>20</v>
      </c>
      <c r="C56" s="26"/>
      <c r="D56" s="27"/>
      <c r="E56" s="27"/>
      <c r="F56" s="28" t="s">
        <v>21</v>
      </c>
      <c r="G56" s="28"/>
      <c r="H56" s="43">
        <f>COUNTIF(B56:G56,"w*")</f>
        <v>0</v>
      </c>
    </row>
    <row r="57" spans="1:26" ht="15.75" customHeight="1" x14ac:dyDescent="0.35">
      <c r="A57" s="39" t="s">
        <v>8</v>
      </c>
      <c r="B57" s="26" t="s">
        <v>21</v>
      </c>
      <c r="C57" s="26"/>
      <c r="D57" s="27" t="s">
        <v>20</v>
      </c>
      <c r="E57" s="27"/>
      <c r="F57" s="28"/>
      <c r="G57" s="28"/>
      <c r="H57" s="43">
        <f>COUNTIF(B57:G57,"w*")</f>
        <v>0</v>
      </c>
    </row>
    <row r="58" spans="1:26" ht="15.75" customHeight="1" x14ac:dyDescent="0.35">
      <c r="A58" s="39" t="s">
        <v>6</v>
      </c>
      <c r="B58" s="29"/>
      <c r="C58" s="29"/>
      <c r="D58" s="27" t="s">
        <v>21</v>
      </c>
      <c r="E58" s="27"/>
      <c r="F58" s="28" t="s">
        <v>20</v>
      </c>
      <c r="G58" s="28"/>
      <c r="H58" s="43">
        <f>COUNTIF(B58:G58,"w*")</f>
        <v>0</v>
      </c>
    </row>
    <row r="59" spans="1:26" ht="15.75" customHeight="1" x14ac:dyDescent="0.35">
      <c r="A59" s="48"/>
      <c r="B59" s="48"/>
      <c r="C59" s="48"/>
      <c r="D59" s="48"/>
      <c r="E59" s="48"/>
      <c r="F59" s="48"/>
      <c r="G59" s="48"/>
      <c r="H59" s="43">
        <f>COUNTIF(B59:G59,"w*")</f>
        <v>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</row>
    <row r="60" spans="1:26" ht="15.75" customHeight="1" x14ac:dyDescent="0.35">
      <c r="A60" s="35"/>
      <c r="B60" s="35"/>
      <c r="C60" s="35" t="s">
        <v>30</v>
      </c>
      <c r="D60" s="35"/>
      <c r="E60" s="35"/>
      <c r="F60" s="35"/>
      <c r="G60" s="35"/>
      <c r="H60" s="45"/>
    </row>
    <row r="61" spans="1:26" ht="15.75" customHeight="1" x14ac:dyDescent="0.35">
      <c r="A61" s="35"/>
      <c r="B61" s="26" t="s">
        <v>18</v>
      </c>
      <c r="C61" s="26" t="s">
        <v>19</v>
      </c>
      <c r="D61" s="27" t="s">
        <v>18</v>
      </c>
      <c r="E61" s="27" t="s">
        <v>19</v>
      </c>
      <c r="F61" s="28" t="s">
        <v>18</v>
      </c>
      <c r="G61" s="28" t="s">
        <v>19</v>
      </c>
      <c r="H61" s="43"/>
    </row>
    <row r="62" spans="1:26" ht="15.75" customHeight="1" x14ac:dyDescent="0.35">
      <c r="A62" s="39" t="s">
        <v>7</v>
      </c>
      <c r="B62" s="26" t="s">
        <v>21</v>
      </c>
      <c r="C62" s="26"/>
      <c r="D62" s="27"/>
      <c r="E62" s="27"/>
      <c r="F62" s="28" t="s">
        <v>20</v>
      </c>
      <c r="G62" s="28"/>
      <c r="H62" s="43">
        <f>COUNTIF(B62:G62,"w*")</f>
        <v>0</v>
      </c>
    </row>
    <row r="63" spans="1:26" ht="15.75" customHeight="1" x14ac:dyDescent="0.35">
      <c r="A63" s="39" t="s">
        <v>8</v>
      </c>
      <c r="B63" s="26" t="s">
        <v>20</v>
      </c>
      <c r="C63" s="26"/>
      <c r="D63" s="27" t="s">
        <v>21</v>
      </c>
      <c r="E63" s="27"/>
      <c r="F63" s="28"/>
      <c r="G63" s="28"/>
      <c r="H63" s="43">
        <f>COUNTIF(B63:G63,"w*")</f>
        <v>0</v>
      </c>
    </row>
    <row r="64" spans="1:26" ht="15.75" customHeight="1" x14ac:dyDescent="0.35">
      <c r="A64" s="39" t="s">
        <v>6</v>
      </c>
      <c r="B64" s="29"/>
      <c r="C64" s="29"/>
      <c r="D64" s="27" t="s">
        <v>20</v>
      </c>
      <c r="E64" s="27"/>
      <c r="F64" s="28" t="s">
        <v>21</v>
      </c>
      <c r="G64" s="28"/>
      <c r="H64" s="43">
        <f>COUNTIF(B64:G64,"w*")</f>
        <v>0</v>
      </c>
    </row>
    <row r="65" spans="1:8" ht="15.75" customHeight="1" x14ac:dyDescent="0.35">
      <c r="A65" s="35"/>
      <c r="B65" s="35"/>
      <c r="C65" s="35" t="s">
        <v>31</v>
      </c>
      <c r="D65" s="35"/>
      <c r="E65" s="35"/>
      <c r="F65" s="35"/>
      <c r="G65" s="35"/>
      <c r="H65" s="45"/>
    </row>
    <row r="66" spans="1:8" ht="15.75" customHeight="1" x14ac:dyDescent="0.35">
      <c r="A66" s="35"/>
      <c r="B66" s="26" t="s">
        <v>18</v>
      </c>
      <c r="C66" s="26" t="s">
        <v>19</v>
      </c>
      <c r="D66" s="27" t="s">
        <v>18</v>
      </c>
      <c r="E66" s="27" t="s">
        <v>19</v>
      </c>
      <c r="F66" s="28" t="s">
        <v>18</v>
      </c>
      <c r="G66" s="28" t="s">
        <v>19</v>
      </c>
      <c r="H66" s="43"/>
    </row>
    <row r="67" spans="1:8" ht="15.75" customHeight="1" x14ac:dyDescent="0.35">
      <c r="A67" s="39" t="s">
        <v>7</v>
      </c>
      <c r="B67" s="26" t="s">
        <v>21</v>
      </c>
      <c r="C67" s="26"/>
      <c r="D67" s="27"/>
      <c r="E67" s="27"/>
      <c r="F67" s="28" t="s">
        <v>20</v>
      </c>
      <c r="G67" s="28"/>
      <c r="H67" s="43">
        <f>COUNTIF(B67:G67,"w*")</f>
        <v>0</v>
      </c>
    </row>
    <row r="68" spans="1:8" ht="15.75" customHeight="1" x14ac:dyDescent="0.35">
      <c r="A68" s="39" t="s">
        <v>8</v>
      </c>
      <c r="B68" s="26" t="s">
        <v>20</v>
      </c>
      <c r="C68" s="26"/>
      <c r="D68" s="27" t="s">
        <v>21</v>
      </c>
      <c r="E68" s="27"/>
      <c r="F68" s="28"/>
      <c r="G68" s="28"/>
      <c r="H68" s="43">
        <f>COUNTIF(B68:G68,"w*")</f>
        <v>0</v>
      </c>
    </row>
    <row r="69" spans="1:8" ht="15.75" customHeight="1" x14ac:dyDescent="0.35">
      <c r="A69" s="39" t="s">
        <v>6</v>
      </c>
      <c r="B69" s="29"/>
      <c r="C69" s="29"/>
      <c r="D69" s="27" t="s">
        <v>20</v>
      </c>
      <c r="E69" s="27"/>
      <c r="F69" s="28" t="s">
        <v>21</v>
      </c>
      <c r="G69" s="28"/>
      <c r="H69" s="43">
        <f>COUNTIF(B69:G69,"w*")</f>
        <v>0</v>
      </c>
    </row>
    <row r="70" spans="1:8" ht="15.75" customHeight="1" x14ac:dyDescent="0.35">
      <c r="A70" s="35"/>
      <c r="B70" s="35"/>
      <c r="C70" s="35" t="s">
        <v>32</v>
      </c>
      <c r="D70" s="35"/>
      <c r="E70" s="35"/>
      <c r="F70" s="35"/>
      <c r="G70" s="35"/>
      <c r="H70" s="45"/>
    </row>
    <row r="71" spans="1:8" ht="15.75" customHeight="1" x14ac:dyDescent="0.35">
      <c r="A71" s="35"/>
      <c r="B71" s="26" t="s">
        <v>18</v>
      </c>
      <c r="C71" s="26" t="s">
        <v>19</v>
      </c>
      <c r="D71" s="27" t="s">
        <v>18</v>
      </c>
      <c r="E71" s="27" t="s">
        <v>19</v>
      </c>
      <c r="F71" s="28" t="s">
        <v>18</v>
      </c>
      <c r="G71" s="28" t="s">
        <v>19</v>
      </c>
      <c r="H71" s="43"/>
    </row>
    <row r="72" spans="1:8" ht="15.75" customHeight="1" x14ac:dyDescent="0.35">
      <c r="A72" s="39" t="s">
        <v>7</v>
      </c>
      <c r="B72" s="26" t="s">
        <v>21</v>
      </c>
      <c r="C72" s="26"/>
      <c r="D72" s="27"/>
      <c r="E72" s="27"/>
      <c r="F72" s="28" t="s">
        <v>20</v>
      </c>
      <c r="G72" s="28"/>
      <c r="H72" s="43">
        <f>COUNTIF(B72:G72,"w*")</f>
        <v>0</v>
      </c>
    </row>
    <row r="73" spans="1:8" ht="15.75" customHeight="1" x14ac:dyDescent="0.35">
      <c r="A73" s="39" t="s">
        <v>8</v>
      </c>
      <c r="B73" s="26" t="s">
        <v>20</v>
      </c>
      <c r="C73" s="26"/>
      <c r="D73" s="27" t="s">
        <v>21</v>
      </c>
      <c r="E73" s="27"/>
      <c r="F73" s="28"/>
      <c r="G73" s="28"/>
      <c r="H73" s="43">
        <f>COUNTIF(B73:G73,"w*")</f>
        <v>0</v>
      </c>
    </row>
    <row r="74" spans="1:8" ht="15.75" customHeight="1" x14ac:dyDescent="0.35">
      <c r="A74" s="39" t="s">
        <v>6</v>
      </c>
      <c r="B74" s="29"/>
      <c r="C74" s="29"/>
      <c r="D74" s="27" t="s">
        <v>20</v>
      </c>
      <c r="E74" s="27"/>
      <c r="F74" s="28" t="s">
        <v>21</v>
      </c>
      <c r="G74" s="28"/>
      <c r="H74" s="43">
        <f>COUNTIF(B74:G74,"w*")</f>
        <v>0</v>
      </c>
    </row>
    <row r="75" spans="1:8" ht="15.75" customHeight="1" x14ac:dyDescent="0.25"/>
    <row r="76" spans="1:8" ht="15.75" customHeight="1" x14ac:dyDescent="0.35">
      <c r="A76" s="39" t="s">
        <v>33</v>
      </c>
      <c r="B76" s="35"/>
      <c r="C76" s="119">
        <f>SUMIF($A$2:$A$65,"Irek",$H$2:$H$74)</f>
        <v>0</v>
      </c>
      <c r="D76" s="120"/>
      <c r="E76" s="120"/>
      <c r="F76" s="120"/>
      <c r="G76" s="120"/>
      <c r="H76" s="121"/>
    </row>
    <row r="77" spans="1:8" ht="15.75" customHeight="1" x14ac:dyDescent="0.35">
      <c r="A77" s="39" t="s">
        <v>34</v>
      </c>
      <c r="B77" s="35"/>
      <c r="C77" s="119">
        <f>SUMIF($A$2:$A$65,"Marcin",$H$2:$H$74)</f>
        <v>0</v>
      </c>
      <c r="D77" s="120"/>
      <c r="E77" s="120"/>
      <c r="F77" s="120"/>
      <c r="G77" s="120"/>
      <c r="H77" s="121"/>
    </row>
    <row r="78" spans="1:8" ht="15.75" customHeight="1" x14ac:dyDescent="0.35">
      <c r="A78" s="39" t="s">
        <v>35</v>
      </c>
      <c r="B78" s="35"/>
      <c r="C78" s="119">
        <f>SUMIF($A$2:$A$65,"Rysiek",$H$2:$H$74)</f>
        <v>0</v>
      </c>
      <c r="D78" s="120"/>
      <c r="E78" s="120"/>
      <c r="F78" s="120"/>
      <c r="G78" s="120"/>
      <c r="H78" s="121"/>
    </row>
    <row r="79" spans="1:8" ht="15.75" customHeight="1" x14ac:dyDescent="0.25"/>
    <row r="80" spans="1:8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</sheetData>
  <mergeCells count="3">
    <mergeCell ref="C76:H76"/>
    <mergeCell ref="C77:H77"/>
    <mergeCell ref="C78:H78"/>
  </mergeCells>
  <pageMargins left="0.7" right="0.7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8B666-6DE5-49F3-BF6D-E3220831808D}">
  <sheetPr codeName="Sheet26"/>
  <dimension ref="A2:AF982"/>
  <sheetViews>
    <sheetView topLeftCell="A43" zoomScale="93" workbookViewId="0">
      <selection activeCell="A53" sqref="A5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/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70"/>
      <c r="D4" s="65"/>
      <c r="E4" s="65"/>
      <c r="F4" s="66"/>
      <c r="G4" s="66"/>
      <c r="H4" s="71" t="s">
        <v>21</v>
      </c>
      <c r="I4" s="71"/>
      <c r="J4" s="72" t="s">
        <v>20</v>
      </c>
      <c r="K4" s="72"/>
      <c r="L4" s="67"/>
      <c r="M4" s="67"/>
      <c r="N4" s="68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71"/>
      <c r="H5" s="66"/>
      <c r="I5" s="66"/>
      <c r="J5" s="67"/>
      <c r="K5" s="67"/>
      <c r="L5" s="72" t="s">
        <v>20</v>
      </c>
      <c r="M5" s="72"/>
      <c r="N5" s="68">
        <f>COUNTIF(B5:M5,"w*")</f>
        <v>0</v>
      </c>
    </row>
    <row r="6" spans="1:19" ht="21" x14ac:dyDescent="0.35">
      <c r="A6" s="73" t="s">
        <v>6</v>
      </c>
      <c r="B6" s="74"/>
      <c r="C6" s="74"/>
      <c r="D6" s="65" t="s">
        <v>20</v>
      </c>
      <c r="E6" s="70"/>
      <c r="F6" s="75" t="s">
        <v>21</v>
      </c>
      <c r="G6" s="75"/>
      <c r="H6" s="66"/>
      <c r="I6" s="71"/>
      <c r="J6" s="77" t="s">
        <v>21</v>
      </c>
      <c r="K6" s="78"/>
      <c r="L6" s="78"/>
      <c r="M6" s="78"/>
      <c r="N6" s="68">
        <f>COUNTIF(B6:M6,"w*")</f>
        <v>0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/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70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70"/>
      <c r="F13" s="71" t="s">
        <v>20</v>
      </c>
      <c r="G13" s="71"/>
      <c r="H13" s="71"/>
      <c r="I13" s="66"/>
      <c r="J13" s="72" t="s">
        <v>20</v>
      </c>
      <c r="K13" s="72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71"/>
      <c r="J14" s="67"/>
      <c r="K14" s="67"/>
      <c r="L14" s="72" t="s">
        <v>20</v>
      </c>
      <c r="M14" s="72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70"/>
      <c r="D18" s="65"/>
      <c r="E18" s="65"/>
      <c r="F18" s="66"/>
      <c r="G18" s="66"/>
      <c r="H18" s="71" t="s">
        <v>21</v>
      </c>
      <c r="I18" s="71"/>
      <c r="J18" s="72" t="s">
        <v>20</v>
      </c>
      <c r="K18" s="72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71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70"/>
      <c r="F21" s="71"/>
      <c r="G21" s="66"/>
      <c r="H21" s="71" t="s">
        <v>20</v>
      </c>
      <c r="I21" s="66"/>
      <c r="J21" s="67"/>
      <c r="K21" s="67"/>
      <c r="L21" s="72" t="s">
        <v>21</v>
      </c>
      <c r="M21" s="72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70"/>
      <c r="D25" s="65"/>
      <c r="E25" s="65"/>
      <c r="F25" s="66"/>
      <c r="G25" s="66"/>
      <c r="H25" s="71" t="s">
        <v>20</v>
      </c>
      <c r="I25" s="71"/>
      <c r="J25" s="72" t="s">
        <v>21</v>
      </c>
      <c r="K25" s="72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70"/>
      <c r="F27" s="71" t="s">
        <v>20</v>
      </c>
      <c r="G27" s="71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/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/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72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32" ht="32.450000000000003" customHeight="1" x14ac:dyDescent="0.35">
      <c r="A52" s="69" t="s">
        <v>33</v>
      </c>
      <c r="B52" s="63"/>
      <c r="C52" s="122">
        <f>SUMIF($A$2:$A$50,"Irek",$N$2:$N$50)</f>
        <v>0</v>
      </c>
      <c r="D52" s="123"/>
      <c r="E52" s="123"/>
      <c r="F52" s="123"/>
      <c r="G52" s="123"/>
      <c r="H52" s="123"/>
      <c r="I52" s="123"/>
      <c r="J52" s="123"/>
      <c r="K52" s="123"/>
      <c r="L52" s="123"/>
      <c r="M52" s="123"/>
      <c r="N52" s="124"/>
    </row>
    <row r="53" spans="1:32" ht="21" x14ac:dyDescent="0.35">
      <c r="A53" s="69" t="s">
        <v>34</v>
      </c>
      <c r="B53" s="63"/>
      <c r="C53" s="122">
        <f>SUMIF($A$2:$A$50,"Marcin",$N$2:$N$50)</f>
        <v>0</v>
      </c>
      <c r="D53" s="123"/>
      <c r="E53" s="123"/>
      <c r="F53" s="123"/>
      <c r="G53" s="123"/>
      <c r="H53" s="123"/>
      <c r="I53" s="123"/>
      <c r="J53" s="123"/>
      <c r="K53" s="123"/>
      <c r="L53" s="123"/>
      <c r="M53" s="123"/>
      <c r="N53" s="124"/>
    </row>
    <row r="54" spans="1:32" ht="21" x14ac:dyDescent="0.35">
      <c r="A54" s="69" t="s">
        <v>35</v>
      </c>
      <c r="B54" s="63"/>
      <c r="C54" s="122">
        <f>SUMIF($A$2:$A$50,"Rysiek",$N$2:$N$50)</f>
        <v>0</v>
      </c>
      <c r="D54" s="123"/>
      <c r="E54" s="123"/>
      <c r="F54" s="123"/>
      <c r="G54" s="123"/>
      <c r="H54" s="123"/>
      <c r="I54" s="123"/>
      <c r="J54" s="123"/>
      <c r="K54" s="123"/>
      <c r="L54" s="123"/>
      <c r="M54" s="123"/>
      <c r="N54" s="124"/>
    </row>
    <row r="55" spans="1:32" ht="21" x14ac:dyDescent="0.35">
      <c r="A55" s="69" t="s">
        <v>68</v>
      </c>
      <c r="B55" s="86"/>
      <c r="C55" s="122">
        <f>SUMIF($A$2:$A$50,"Piotr",$N$2:$N$50)</f>
        <v>0</v>
      </c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4"/>
    </row>
    <row r="56" spans="1:32" ht="15.75" customHeight="1" x14ac:dyDescent="0.25"/>
    <row r="57" spans="1:32" ht="15.75" customHeight="1" x14ac:dyDescent="0.25"/>
    <row r="58" spans="1:32" ht="15.75" customHeight="1" x14ac:dyDescent="0.25"/>
    <row r="59" spans="1:32" ht="15.75" customHeight="1" x14ac:dyDescent="0.25"/>
    <row r="60" spans="1:32" ht="15.75" customHeight="1" x14ac:dyDescent="0.25"/>
    <row r="61" spans="1:32" ht="15.75" customHeight="1" x14ac:dyDescent="0.25"/>
    <row r="62" spans="1:32" ht="15.75" customHeight="1" x14ac:dyDescent="0.25"/>
    <row r="63" spans="1:32" ht="15.75" customHeight="1" x14ac:dyDescent="0.25"/>
    <row r="64" spans="1:32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mergeCells count="4">
    <mergeCell ref="C52:N52"/>
    <mergeCell ref="C53:N53"/>
    <mergeCell ref="C54:N54"/>
    <mergeCell ref="C55:N55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DAFF0-A06C-4D9F-9503-AFBBDD4AD5FC}">
  <sheetPr codeName="Sheet23"/>
  <dimension ref="B4:F27"/>
  <sheetViews>
    <sheetView workbookViewId="0">
      <selection activeCell="K15" sqref="K15"/>
    </sheetView>
  </sheetViews>
  <sheetFormatPr defaultRowHeight="15" x14ac:dyDescent="0.25"/>
  <cols>
    <col min="2" max="2" width="16.42578125" customWidth="1"/>
  </cols>
  <sheetData>
    <row r="4" spans="2:2" x14ac:dyDescent="0.25">
      <c r="B4" t="e" cm="1" vm="1">
        <f t="array" aca="1" ref="B4" ca="1">ListSheetNames()</f>
        <v>#VALUE!</v>
      </c>
    </row>
    <row r="21" spans="2:6" x14ac:dyDescent="0.25">
      <c r="F21" s="88"/>
    </row>
    <row r="24" spans="2:6" x14ac:dyDescent="0.25">
      <c r="F24" s="88"/>
    </row>
    <row r="25" spans="2:6" x14ac:dyDescent="0.25">
      <c r="E25" s="88"/>
    </row>
    <row r="27" spans="2:6" x14ac:dyDescent="0.25">
      <c r="B27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55B29-D2EC-470C-9486-62C19A9EE8D6}">
  <sheetPr codeName="Sheet62"/>
  <dimension ref="A2:AF995"/>
  <sheetViews>
    <sheetView topLeftCell="A41" zoomScaleNormal="100" workbookViewId="0">
      <selection activeCell="F41" sqref="F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85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85</v>
      </c>
      <c r="D5" s="65"/>
      <c r="E5" s="65"/>
      <c r="F5" s="71" t="s">
        <v>20</v>
      </c>
      <c r="G5" s="66" t="s">
        <v>83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 t="s">
        <v>83</v>
      </c>
      <c r="H12" s="71"/>
      <c r="I12" s="66"/>
      <c r="J12" s="67"/>
      <c r="K12" s="67"/>
      <c r="L12" s="72" t="s">
        <v>21</v>
      </c>
      <c r="M12" s="67" t="s">
        <v>85</v>
      </c>
      <c r="N12" s="81">
        <f>COUNTIF(B12:M12,"w*")</f>
        <v>3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83</v>
      </c>
      <c r="F13" s="71" t="s">
        <v>20</v>
      </c>
      <c r="G13" s="66"/>
      <c r="H13" s="71"/>
      <c r="I13" s="66"/>
      <c r="J13" s="72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83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 t="s">
        <v>83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84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70" t="s">
        <v>20</v>
      </c>
      <c r="C26" s="65" t="s">
        <v>84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86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85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 t="s">
        <v>86</v>
      </c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86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1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FACF6-A4D5-4116-B9A2-86E769F10081}">
  <sheetPr codeName="Sheet63"/>
  <dimension ref="A2:AF995"/>
  <sheetViews>
    <sheetView topLeftCell="A18" zoomScaleNormal="100" workbookViewId="0">
      <selection activeCell="G68" sqref="G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85</v>
      </c>
      <c r="H6" s="66"/>
      <c r="I6" s="71"/>
      <c r="J6" s="77" t="s">
        <v>21</v>
      </c>
      <c r="K6" s="78" t="s">
        <v>85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83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 t="s">
        <v>86</v>
      </c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85</v>
      </c>
      <c r="H41" s="71"/>
      <c r="I41" s="66"/>
      <c r="J41" s="72" t="s">
        <v>20</v>
      </c>
      <c r="K41" s="67" t="s">
        <v>85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85</v>
      </c>
      <c r="D47" s="65"/>
      <c r="E47" s="65"/>
      <c r="F47" s="71" t="s">
        <v>20</v>
      </c>
      <c r="G47" s="66" t="s">
        <v>83</v>
      </c>
      <c r="H47" s="71"/>
      <c r="I47" s="66"/>
      <c r="J47" s="67"/>
      <c r="K47" s="67"/>
      <c r="L47" s="72" t="s">
        <v>20</v>
      </c>
      <c r="M47" s="67"/>
      <c r="N47" s="81">
        <f>COUNTIF(B47:M47,"w*")</f>
        <v>2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 t="s">
        <v>86</v>
      </c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86</v>
      </c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86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 t="s">
        <v>84</v>
      </c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85</v>
      </c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86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 t="s">
        <v>84</v>
      </c>
      <c r="L76" s="67"/>
      <c r="M76" s="67"/>
      <c r="N76" s="81">
        <f>COUNTIF(B76:M76,"w*")</f>
        <v>1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/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10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E311E-3B37-4B23-8E94-BCFC5F50AF08}">
  <sheetPr codeName="Sheet64"/>
  <dimension ref="A2:AF995"/>
  <sheetViews>
    <sheetView topLeftCell="A67" zoomScaleNormal="100" workbookViewId="0">
      <selection activeCell="K84" sqref="K8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84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84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84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86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83</v>
      </c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/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83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85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/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86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83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 t="s">
        <v>85</v>
      </c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85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 t="s">
        <v>84</v>
      </c>
      <c r="H54" s="71"/>
      <c r="I54" s="66"/>
      <c r="J54" s="67"/>
      <c r="K54" s="67"/>
      <c r="L54" s="72" t="s">
        <v>21</v>
      </c>
      <c r="M54" s="67"/>
      <c r="N54" s="81">
        <f>COUNTIF(B54:M54,"w*")</f>
        <v>1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86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83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84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83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83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 t="s">
        <v>86</v>
      </c>
      <c r="H75" s="71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 t="s">
        <v>83</v>
      </c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1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 t="s">
        <v>86</v>
      </c>
      <c r="H82" s="71"/>
      <c r="I82" s="66"/>
      <c r="J82" s="67"/>
      <c r="K82" s="67"/>
      <c r="L82" s="72" t="s">
        <v>21</v>
      </c>
      <c r="M82" s="67"/>
      <c r="N82" s="81">
        <f>COUNTIF(B82:M82,"w*")</f>
        <v>1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 t="s">
        <v>85</v>
      </c>
      <c r="L83" s="67"/>
      <c r="M83" s="67"/>
      <c r="N83" s="81">
        <f>COUNTIF(B83:M83,"w*")</f>
        <v>1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16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8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/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DEA65-A23E-4845-8DC5-2E88003704FC}">
  <sheetPr codeName="Sheet65"/>
  <dimension ref="A2:AF995"/>
  <sheetViews>
    <sheetView topLeftCell="A75"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 t="s">
        <v>83</v>
      </c>
      <c r="L4" s="67"/>
      <c r="M4" s="67"/>
      <c r="N4" s="68">
        <f>COUNTIF(B4:M4,"w*")</f>
        <v>3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85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 t="s">
        <v>83</v>
      </c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83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83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 t="s">
        <v>86</v>
      </c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83</v>
      </c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/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 t="s">
        <v>84</v>
      </c>
      <c r="F27" s="71" t="s">
        <v>20</v>
      </c>
      <c r="G27" s="66" t="s">
        <v>83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3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 t="s">
        <v>86</v>
      </c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 t="s">
        <v>85</v>
      </c>
      <c r="J32" s="72" t="s">
        <v>20</v>
      </c>
      <c r="K32" s="67" t="s">
        <v>84</v>
      </c>
      <c r="L32" s="67"/>
      <c r="M32" s="67"/>
      <c r="N32" s="81">
        <f>COUNTIF(B32:M32,"w*")</f>
        <v>3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84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85</v>
      </c>
      <c r="F35" s="71"/>
      <c r="G35" s="66"/>
      <c r="H35" s="71" t="s">
        <v>20</v>
      </c>
      <c r="I35" s="66"/>
      <c r="J35" s="67"/>
      <c r="K35" s="67"/>
      <c r="L35" s="72" t="s">
        <v>21</v>
      </c>
      <c r="M35" s="67" t="s">
        <v>85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85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 t="s">
        <v>83</v>
      </c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/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85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 t="s">
        <v>84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2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9F6DD-40A7-4347-9E19-819B7054900C}">
  <sheetPr codeName="Sheet66"/>
  <dimension ref="A2:AF995"/>
  <sheetViews>
    <sheetView topLeftCell="A65" zoomScaleNormal="100" workbookViewId="0">
      <selection activeCell="M75" sqref="M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84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86</v>
      </c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 t="s">
        <v>84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85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83</v>
      </c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85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85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83</v>
      </c>
      <c r="H27" s="71"/>
      <c r="I27" s="66"/>
      <c r="J27" s="72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82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/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85</v>
      </c>
      <c r="D40" s="65"/>
      <c r="E40" s="65"/>
      <c r="F40" s="71" t="s">
        <v>21</v>
      </c>
      <c r="G40" s="66" t="s">
        <v>84</v>
      </c>
      <c r="H40" s="71"/>
      <c r="I40" s="66"/>
      <c r="J40" s="67"/>
      <c r="K40" s="67"/>
      <c r="L40" s="72" t="s">
        <v>21</v>
      </c>
      <c r="M40" s="67"/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 t="s">
        <v>86</v>
      </c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 t="s">
        <v>86</v>
      </c>
      <c r="H48" s="71"/>
      <c r="I48" s="66"/>
      <c r="J48" s="72" t="s">
        <v>21</v>
      </c>
      <c r="K48" s="67" t="s">
        <v>84</v>
      </c>
      <c r="L48" s="67"/>
      <c r="M48" s="67"/>
      <c r="N48" s="81">
        <f>COUNTIF(B48:M48,"w*")</f>
        <v>2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 t="s">
        <v>86</v>
      </c>
      <c r="D53" s="65"/>
      <c r="E53" s="65"/>
      <c r="F53" s="66"/>
      <c r="G53" s="66"/>
      <c r="H53" s="71" t="s">
        <v>20</v>
      </c>
      <c r="I53" s="66"/>
      <c r="J53" s="72" t="s">
        <v>21</v>
      </c>
      <c r="K53" s="67" t="s">
        <v>83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 t="s">
        <v>83</v>
      </c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83</v>
      </c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 t="s">
        <v>84</v>
      </c>
      <c r="H62" s="71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 t="s">
        <v>86</v>
      </c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 t="s">
        <v>84</v>
      </c>
      <c r="H69" s="71"/>
      <c r="I69" s="66" t="s">
        <v>82</v>
      </c>
      <c r="J69" s="72" t="s">
        <v>20</v>
      </c>
      <c r="K69" s="67" t="s">
        <v>86</v>
      </c>
      <c r="L69" s="67"/>
      <c r="M69" s="67"/>
      <c r="N69" s="81">
        <f>COUNTIF(B69:M69,"w*")</f>
        <v>2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84</v>
      </c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71"/>
      <c r="I76" s="66"/>
      <c r="J76" s="67" t="s">
        <v>21</v>
      </c>
      <c r="K76" s="67" t="s">
        <v>86</v>
      </c>
      <c r="L76" s="67"/>
      <c r="M76" s="67"/>
      <c r="N76" s="81">
        <f>COUNTIF(B76:M76,"w*")</f>
        <v>2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14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77563-BA4A-4832-B009-038FC0A887F1}">
  <sheetPr codeName="Sheet67"/>
  <dimension ref="A2:AF995"/>
  <sheetViews>
    <sheetView topLeftCell="A74" zoomScaleNormal="100" workbookViewId="0">
      <selection activeCell="I40" sqref="I4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 t="s">
        <v>86</v>
      </c>
      <c r="H5" s="66"/>
      <c r="I5" s="66" t="s">
        <v>82</v>
      </c>
      <c r="J5" s="67"/>
      <c r="K5" s="67"/>
      <c r="L5" s="72" t="s">
        <v>20</v>
      </c>
      <c r="M5" s="67" t="s">
        <v>83</v>
      </c>
      <c r="N5" s="68">
        <f>COUNTIF(B5:M5,"w*")</f>
        <v>2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84</v>
      </c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 t="s">
        <v>83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85</v>
      </c>
      <c r="F13" s="71" t="s">
        <v>20</v>
      </c>
      <c r="G13" s="66" t="s">
        <v>85</v>
      </c>
      <c r="H13" s="71"/>
      <c r="I13" s="66"/>
      <c r="J13" s="72" t="s">
        <v>20</v>
      </c>
      <c r="K13" s="67" t="s">
        <v>84</v>
      </c>
      <c r="L13" s="67"/>
      <c r="M13" s="67"/>
      <c r="N13" s="81">
        <f>COUNTIF(B13:M13,"w*")</f>
        <v>3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83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 t="s">
        <v>86</v>
      </c>
      <c r="L18" s="67"/>
      <c r="M18" s="67"/>
      <c r="N18" s="81">
        <f>COUNTIF(B18:M18,"w*")</f>
        <v>1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86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 t="s">
        <v>86</v>
      </c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 t="s">
        <v>83</v>
      </c>
      <c r="J25" s="72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85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 t="s">
        <v>84</v>
      </c>
      <c r="L27" s="67"/>
      <c r="M27" s="67"/>
      <c r="N27" s="81">
        <f>COUNTIF(B27:M27,"w*")</f>
        <v>1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84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84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85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83</v>
      </c>
      <c r="D39" s="65"/>
      <c r="E39" s="65"/>
      <c r="F39" s="66"/>
      <c r="G39" s="66"/>
      <c r="H39" s="71" t="s">
        <v>20</v>
      </c>
      <c r="I39" s="66" t="s">
        <v>84</v>
      </c>
      <c r="J39" s="72" t="s">
        <v>21</v>
      </c>
      <c r="K39" s="67"/>
      <c r="L39" s="67"/>
      <c r="M39" s="67"/>
      <c r="N39" s="81">
        <f>COUNTIF(B39:M39,"w*")</f>
        <v>2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 t="s">
        <v>85</v>
      </c>
      <c r="H40" s="71"/>
      <c r="I40" s="66"/>
      <c r="J40" s="67"/>
      <c r="K40" s="67"/>
      <c r="L40" s="72" t="s">
        <v>21</v>
      </c>
      <c r="M40" s="67"/>
      <c r="N40" s="81">
        <f>COUNTIF(B40:M40,"w*")</f>
        <v>1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 t="s">
        <v>86</v>
      </c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8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74BE2-5B58-456B-8D77-BF1574E55A02}">
  <sheetPr codeName="Sheet68"/>
  <dimension ref="A2:AF995"/>
  <sheetViews>
    <sheetView topLeftCell="A66" zoomScaleNormal="100" workbookViewId="0">
      <selection activeCell="M41" sqref="M41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83</v>
      </c>
      <c r="F7" s="75"/>
      <c r="G7" s="76" t="s">
        <v>82</v>
      </c>
      <c r="H7" s="71" t="s">
        <v>20</v>
      </c>
      <c r="I7" s="66" t="s">
        <v>85</v>
      </c>
      <c r="J7" s="78"/>
      <c r="K7" s="78"/>
      <c r="L7" s="77" t="s">
        <v>21</v>
      </c>
      <c r="M7" s="78" t="s">
        <v>83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83</v>
      </c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85</v>
      </c>
      <c r="H13" s="71"/>
      <c r="I13" s="66"/>
      <c r="J13" s="72" t="s">
        <v>20</v>
      </c>
      <c r="K13" s="67" t="s">
        <v>85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86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85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86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86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86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 t="s">
        <v>84</v>
      </c>
      <c r="H27" s="71"/>
      <c r="I27" s="66"/>
      <c r="J27" s="72" t="s">
        <v>20</v>
      </c>
      <c r="K27" s="67" t="s">
        <v>86</v>
      </c>
      <c r="L27" s="67"/>
      <c r="M27" s="67"/>
      <c r="N27" s="81">
        <f>COUNTIF(B27:M27,"w*")</f>
        <v>2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 t="s">
        <v>83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 t="s">
        <v>86</v>
      </c>
      <c r="J32" s="72" t="s">
        <v>20</v>
      </c>
      <c r="K32" s="67" t="s">
        <v>84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70" t="s">
        <v>21</v>
      </c>
      <c r="C33" s="65" t="s">
        <v>85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83</v>
      </c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/>
      <c r="J35" s="67"/>
      <c r="K35" s="67"/>
      <c r="L35" s="72" t="s">
        <v>21</v>
      </c>
      <c r="M35" s="67" t="s">
        <v>83</v>
      </c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 t="s">
        <v>84</v>
      </c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86</v>
      </c>
      <c r="N40" s="81">
        <f>COUNTIF(B40:M40,"w*")</f>
        <v>2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86</v>
      </c>
      <c r="F42" s="71"/>
      <c r="G42" s="66"/>
      <c r="H42" s="71" t="s">
        <v>21</v>
      </c>
      <c r="I42" s="66" t="s">
        <v>86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11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14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8C5FD-0BFB-4798-8B2E-5BC9A053F929}">
  <sheetPr codeName="Sheet69"/>
  <dimension ref="A2:AF995"/>
  <sheetViews>
    <sheetView topLeftCell="A66" zoomScaleNormal="100" workbookViewId="0">
      <selection activeCell="K47" sqref="K4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 t="s">
        <v>86</v>
      </c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/>
      <c r="H6" s="66"/>
      <c r="I6" s="71"/>
      <c r="J6" s="77" t="s">
        <v>21</v>
      </c>
      <c r="K6" s="78" t="s">
        <v>83</v>
      </c>
      <c r="L6" s="78"/>
      <c r="M6" s="78"/>
      <c r="N6" s="68">
        <f>COUNTIF(B6:M6,"w*")</f>
        <v>1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84</v>
      </c>
      <c r="F7" s="75"/>
      <c r="G7" s="76" t="s">
        <v>82</v>
      </c>
      <c r="H7" s="71" t="s">
        <v>20</v>
      </c>
      <c r="I7" s="66"/>
      <c r="J7" s="78"/>
      <c r="K7" s="78"/>
      <c r="L7" s="77" t="s">
        <v>21</v>
      </c>
      <c r="M7" s="78"/>
      <c r="N7" s="68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 t="s">
        <v>83</v>
      </c>
      <c r="J11" s="72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/>
      <c r="H13" s="71"/>
      <c r="I13" s="66"/>
      <c r="J13" s="72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83</v>
      </c>
      <c r="F14" s="71"/>
      <c r="G14" s="66"/>
      <c r="H14" s="71" t="s">
        <v>21</v>
      </c>
      <c r="I14" s="66"/>
      <c r="J14" s="67"/>
      <c r="K14" s="67"/>
      <c r="L14" s="72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 t="s">
        <v>86</v>
      </c>
      <c r="J18" s="72" t="s">
        <v>20</v>
      </c>
      <c r="K18" s="67" t="s">
        <v>83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 t="s">
        <v>86</v>
      </c>
      <c r="F20" s="71" t="s">
        <v>21</v>
      </c>
      <c r="G20" s="66"/>
      <c r="H20" s="71"/>
      <c r="I20" s="66"/>
      <c r="J20" s="72" t="s">
        <v>21</v>
      </c>
      <c r="K20" s="67"/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/>
      <c r="F21" s="71"/>
      <c r="G21" s="66"/>
      <c r="H21" s="71" t="s">
        <v>20</v>
      </c>
      <c r="I21" s="66"/>
      <c r="J21" s="67"/>
      <c r="K21" s="67"/>
      <c r="L21" s="72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/>
      <c r="H26" s="71"/>
      <c r="I26" s="66"/>
      <c r="J26" s="67"/>
      <c r="K26" s="67"/>
      <c r="L26" s="72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83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 t="s">
        <v>86</v>
      </c>
      <c r="F34" s="71" t="s">
        <v>21</v>
      </c>
      <c r="G34" s="66"/>
      <c r="H34" s="71"/>
      <c r="I34" s="66"/>
      <c r="J34" s="72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/>
      <c r="F35" s="71"/>
      <c r="G35" s="66" t="s">
        <v>101</v>
      </c>
      <c r="H35" s="71" t="s">
        <v>20</v>
      </c>
      <c r="I35" s="66" t="s">
        <v>86</v>
      </c>
      <c r="J35" s="67"/>
      <c r="K35" s="67"/>
      <c r="L35" s="72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 t="s">
        <v>86</v>
      </c>
      <c r="L41" s="67"/>
      <c r="M41" s="67"/>
      <c r="N41" s="81">
        <f>COUNTIF(B41:M41,"w*")</f>
        <v>1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84</v>
      </c>
      <c r="J42" s="67"/>
      <c r="K42" s="67"/>
      <c r="L42" s="72" t="s">
        <v>20</v>
      </c>
      <c r="M42" s="67"/>
      <c r="N42" s="81">
        <f>COUNTIF(B42:M42,"w*")</f>
        <v>2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 t="s">
        <v>85</v>
      </c>
      <c r="L46" s="72"/>
      <c r="M46" s="67"/>
      <c r="N46" s="81">
        <f>COUNTIF(B46:M46,"w*")</f>
        <v>1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 t="s">
        <v>100</v>
      </c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 t="s">
        <v>86</v>
      </c>
      <c r="J49" s="67"/>
      <c r="K49" s="67"/>
      <c r="L49" s="72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 t="s">
        <v>85</v>
      </c>
      <c r="F56" s="71"/>
      <c r="G56" s="66"/>
      <c r="H56" s="71" t="s">
        <v>21</v>
      </c>
      <c r="I56" s="66" t="s">
        <v>83</v>
      </c>
      <c r="J56" s="67"/>
      <c r="K56" s="67"/>
      <c r="L56" s="72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 t="s">
        <v>85</v>
      </c>
      <c r="L62" s="67"/>
      <c r="M62" s="67"/>
      <c r="N62" s="81">
        <f>COUNTIF(B62:M62,"w*")</f>
        <v>1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 t="s">
        <v>84</v>
      </c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 t="s">
        <v>86</v>
      </c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 t="s">
        <v>83</v>
      </c>
      <c r="F77" s="71"/>
      <c r="G77" s="66"/>
      <c r="H77" s="66" t="s">
        <v>20</v>
      </c>
      <c r="I77" s="66" t="s">
        <v>84</v>
      </c>
      <c r="J77" s="67"/>
      <c r="K77" s="67"/>
      <c r="L77" s="67" t="s">
        <v>21</v>
      </c>
      <c r="M77" s="67"/>
      <c r="N77" s="81">
        <f>COUNTIF(B77:M77,"w*")</f>
        <v>2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8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A4CDC-7741-4F40-A00B-A19725D81BEE}">
  <sheetPr codeName="Sheet70"/>
  <dimension ref="A2:AF995"/>
  <sheetViews>
    <sheetView topLeftCell="A68" zoomScaleNormal="100" workbookViewId="0">
      <selection activeCell="M34" sqref="M3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71" t="s">
        <v>21</v>
      </c>
      <c r="I4" s="66"/>
      <c r="J4" s="72" t="s">
        <v>20</v>
      </c>
      <c r="K4" s="67" t="s">
        <v>85</v>
      </c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86</v>
      </c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1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 t="s">
        <v>86</v>
      </c>
      <c r="F6" s="75" t="s">
        <v>21</v>
      </c>
      <c r="G6" s="76" t="s">
        <v>83</v>
      </c>
      <c r="H6" s="66"/>
      <c r="I6" s="71"/>
      <c r="J6" s="77" t="s">
        <v>21</v>
      </c>
      <c r="K6" s="78"/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/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84</v>
      </c>
      <c r="N7" s="68">
        <f>COUNTIF(B7:M7,"w*")</f>
        <v>2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 t="s">
        <v>85</v>
      </c>
      <c r="D11" s="65"/>
      <c r="E11" s="65"/>
      <c r="F11" s="66"/>
      <c r="G11" s="66"/>
      <c r="H11" s="71" t="s">
        <v>20</v>
      </c>
      <c r="I11" s="66" t="s">
        <v>86</v>
      </c>
      <c r="J11" s="72" t="s">
        <v>21</v>
      </c>
      <c r="K11" s="67" t="s">
        <v>83</v>
      </c>
      <c r="L11" s="67"/>
      <c r="M11" s="67"/>
      <c r="N11" s="81">
        <f>COUNTIF(B11:M11,"w*")</f>
        <v>3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 t="s">
        <v>102</v>
      </c>
      <c r="F13" s="71" t="s">
        <v>20</v>
      </c>
      <c r="G13" s="66" t="s">
        <v>86</v>
      </c>
      <c r="H13" s="71"/>
      <c r="I13" s="66"/>
      <c r="J13" s="72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/>
      <c r="F14" s="71"/>
      <c r="G14" s="66"/>
      <c r="H14" s="71" t="s">
        <v>21</v>
      </c>
      <c r="I14" s="66"/>
      <c r="J14" s="67"/>
      <c r="K14" s="67"/>
      <c r="L14" s="72" t="s">
        <v>20</v>
      </c>
      <c r="M14" s="67" t="s">
        <v>84</v>
      </c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/>
      <c r="D18" s="65"/>
      <c r="E18" s="65"/>
      <c r="F18" s="66"/>
      <c r="G18" s="66"/>
      <c r="H18" s="71" t="s">
        <v>21</v>
      </c>
      <c r="I18" s="66"/>
      <c r="J18" s="72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70" t="s">
        <v>21</v>
      </c>
      <c r="C19" s="65" t="s">
        <v>86</v>
      </c>
      <c r="D19" s="65"/>
      <c r="E19" s="65"/>
      <c r="F19" s="71" t="s">
        <v>20</v>
      </c>
      <c r="G19" s="66" t="s">
        <v>83</v>
      </c>
      <c r="H19" s="71"/>
      <c r="I19" s="66"/>
      <c r="J19" s="67"/>
      <c r="K19" s="67"/>
      <c r="L19" s="72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/>
      <c r="H20" s="71"/>
      <c r="I20" s="66"/>
      <c r="J20" s="72" t="s">
        <v>21</v>
      </c>
      <c r="K20" s="67" t="s">
        <v>86</v>
      </c>
      <c r="L20" s="67"/>
      <c r="M20" s="67"/>
      <c r="N20" s="81">
        <f>COUNTIF(B20:M20,"w*")</f>
        <v>1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85</v>
      </c>
      <c r="F21" s="71"/>
      <c r="G21" s="66"/>
      <c r="H21" s="71" t="s">
        <v>20</v>
      </c>
      <c r="I21" s="66" t="s">
        <v>85</v>
      </c>
      <c r="J21" s="67"/>
      <c r="K21" s="67"/>
      <c r="L21" s="72" t="s">
        <v>21</v>
      </c>
      <c r="M21" s="67" t="s">
        <v>85</v>
      </c>
      <c r="N21" s="81">
        <f>COUNTIF(B21:M21,"w*")</f>
        <v>3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 t="s">
        <v>84</v>
      </c>
      <c r="D25" s="65"/>
      <c r="E25" s="65"/>
      <c r="F25" s="66"/>
      <c r="G25" s="66"/>
      <c r="H25" s="71" t="s">
        <v>20</v>
      </c>
      <c r="I25" s="66"/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/>
      <c r="D26" s="65"/>
      <c r="E26" s="65"/>
      <c r="F26" s="71" t="s">
        <v>21</v>
      </c>
      <c r="G26" s="66" t="s">
        <v>84</v>
      </c>
      <c r="H26" s="71"/>
      <c r="I26" s="66"/>
      <c r="J26" s="67"/>
      <c r="K26" s="67"/>
      <c r="L26" s="72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86</v>
      </c>
      <c r="F28" s="71"/>
      <c r="G28" s="66"/>
      <c r="H28" s="71" t="s">
        <v>21</v>
      </c>
      <c r="I28" s="66" t="s">
        <v>84</v>
      </c>
      <c r="J28" s="67"/>
      <c r="K28" s="67"/>
      <c r="L28" s="72" t="s">
        <v>20</v>
      </c>
      <c r="M28" s="67" t="s">
        <v>83</v>
      </c>
      <c r="N28" s="81">
        <f>COUNTIF(B28:M28,"w*")</f>
        <v>3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/>
      <c r="D32" s="65"/>
      <c r="E32" s="65"/>
      <c r="F32" s="66"/>
      <c r="G32" s="66"/>
      <c r="H32" s="71" t="s">
        <v>21</v>
      </c>
      <c r="I32" s="66"/>
      <c r="J32" s="72" t="s">
        <v>20</v>
      </c>
      <c r="K32" s="67" t="s">
        <v>86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 t="s">
        <v>84</v>
      </c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 t="s">
        <v>83</v>
      </c>
      <c r="N33" s="81">
        <f>COUNTIF(B33:M33,"w*")</f>
        <v>2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83</v>
      </c>
      <c r="H34" s="71"/>
      <c r="I34" s="66"/>
      <c r="J34" s="72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84</v>
      </c>
      <c r="F35" s="71"/>
      <c r="G35" s="66" t="s">
        <v>101</v>
      </c>
      <c r="H35" s="71" t="s">
        <v>20</v>
      </c>
      <c r="I35" s="66" t="s">
        <v>83</v>
      </c>
      <c r="J35" s="67"/>
      <c r="K35" s="67"/>
      <c r="L35" s="72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101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0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/>
      <c r="H41" s="71"/>
      <c r="I41" s="66"/>
      <c r="J41" s="72" t="s">
        <v>20</v>
      </c>
      <c r="K41" s="67"/>
      <c r="L41" s="67"/>
      <c r="M41" s="67"/>
      <c r="N41" s="81">
        <f>COUNTIF(B41:M41,"w*")</f>
        <v>0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/>
      <c r="F42" s="71"/>
      <c r="G42" s="66"/>
      <c r="H42" s="71" t="s">
        <v>21</v>
      </c>
      <c r="I42" s="66"/>
      <c r="J42" s="67"/>
      <c r="K42" s="67"/>
      <c r="L42" s="72" t="s">
        <v>20</v>
      </c>
      <c r="M42" s="67"/>
      <c r="N42" s="81">
        <f>COUNTIF(B42:M42,"w*")</f>
        <v>0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6F5E3-EFBB-49B6-AC00-F457EEFF1EFA}">
  <sheetPr codeName="Sheet71"/>
  <dimension ref="A2:AF995"/>
  <sheetViews>
    <sheetView zoomScaleNormal="100" workbookViewId="0">
      <selection activeCell="M43" sqref="M43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64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68"/>
    </row>
    <row r="4" spans="1:19" ht="21" x14ac:dyDescent="0.35">
      <c r="A4" s="69" t="s">
        <v>7</v>
      </c>
      <c r="B4" s="65" t="s">
        <v>20</v>
      </c>
      <c r="C4" s="65" t="s">
        <v>85</v>
      </c>
      <c r="D4" s="65"/>
      <c r="E4" s="65"/>
      <c r="F4" s="66"/>
      <c r="G4" s="66"/>
      <c r="H4" s="71" t="s">
        <v>21</v>
      </c>
      <c r="I4" s="66"/>
      <c r="J4" s="72" t="s">
        <v>20</v>
      </c>
      <c r="K4" s="67"/>
      <c r="L4" s="67"/>
      <c r="M4" s="67"/>
      <c r="N4" s="68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71" t="s">
        <v>20</v>
      </c>
      <c r="G5" s="66"/>
      <c r="H5" s="66"/>
      <c r="I5" s="66" t="s">
        <v>82</v>
      </c>
      <c r="J5" s="67"/>
      <c r="K5" s="67"/>
      <c r="L5" s="72" t="s">
        <v>20</v>
      </c>
      <c r="M5" s="67"/>
      <c r="N5" s="68">
        <f>COUNTIF(B5:M5,"w*")</f>
        <v>0</v>
      </c>
    </row>
    <row r="6" spans="1:19" ht="21" x14ac:dyDescent="0.35">
      <c r="A6" s="73" t="s">
        <v>6</v>
      </c>
      <c r="B6" s="74"/>
      <c r="C6" s="74" t="s">
        <v>82</v>
      </c>
      <c r="D6" s="65" t="s">
        <v>20</v>
      </c>
      <c r="E6" s="65"/>
      <c r="F6" s="75" t="s">
        <v>21</v>
      </c>
      <c r="G6" s="76" t="s">
        <v>83</v>
      </c>
      <c r="H6" s="66"/>
      <c r="I6" s="71"/>
      <c r="J6" s="77" t="s">
        <v>21</v>
      </c>
      <c r="K6" s="78" t="s">
        <v>86</v>
      </c>
      <c r="L6" s="78"/>
      <c r="M6" s="78"/>
      <c r="N6" s="68">
        <f>COUNTIF(B6:M6,"w*")</f>
        <v>2</v>
      </c>
    </row>
    <row r="7" spans="1:19" ht="21" x14ac:dyDescent="0.35">
      <c r="A7" s="79" t="s">
        <v>67</v>
      </c>
      <c r="B7" s="74"/>
      <c r="C7" s="74"/>
      <c r="D7" s="65" t="s">
        <v>21</v>
      </c>
      <c r="E7" s="65" t="s">
        <v>85</v>
      </c>
      <c r="F7" s="75"/>
      <c r="G7" s="76" t="s">
        <v>82</v>
      </c>
      <c r="H7" s="71" t="s">
        <v>20</v>
      </c>
      <c r="I7" s="66" t="s">
        <v>86</v>
      </c>
      <c r="J7" s="78"/>
      <c r="K7" s="78"/>
      <c r="L7" s="77" t="s">
        <v>21</v>
      </c>
      <c r="M7" s="78" t="s">
        <v>86</v>
      </c>
      <c r="N7" s="68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70" t="s">
        <v>21</v>
      </c>
      <c r="C11" s="65"/>
      <c r="D11" s="65"/>
      <c r="E11" s="65"/>
      <c r="F11" s="66"/>
      <c r="G11" s="66"/>
      <c r="H11" s="71" t="s">
        <v>20</v>
      </c>
      <c r="I11" s="66"/>
      <c r="J11" s="72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 t="s">
        <v>86</v>
      </c>
      <c r="D12" s="65"/>
      <c r="E12" s="65"/>
      <c r="F12" s="71" t="s">
        <v>21</v>
      </c>
      <c r="G12" s="66"/>
      <c r="H12" s="71"/>
      <c r="I12" s="66"/>
      <c r="J12" s="67"/>
      <c r="K12" s="67"/>
      <c r="L12" s="72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70" t="s">
        <v>21</v>
      </c>
      <c r="E13" s="65"/>
      <c r="F13" s="71" t="s">
        <v>20</v>
      </c>
      <c r="G13" s="66" t="s">
        <v>86</v>
      </c>
      <c r="H13" s="71"/>
      <c r="I13" s="66"/>
      <c r="J13" s="72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84" t="s">
        <v>67</v>
      </c>
      <c r="B14" s="65"/>
      <c r="C14" s="65"/>
      <c r="D14" s="70" t="s">
        <v>20</v>
      </c>
      <c r="E14" s="65" t="s">
        <v>85</v>
      </c>
      <c r="F14" s="71"/>
      <c r="G14" s="66"/>
      <c r="H14" s="71" t="s">
        <v>21</v>
      </c>
      <c r="I14" s="66" t="s">
        <v>83</v>
      </c>
      <c r="J14" s="67"/>
      <c r="K14" s="67"/>
      <c r="L14" s="72" t="s">
        <v>20</v>
      </c>
      <c r="M14" s="67" t="s">
        <v>83</v>
      </c>
      <c r="N14" s="81">
        <f>COUNTIF(B14:M14,"w*")</f>
        <v>3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90" t="s">
        <v>82</v>
      </c>
    </row>
    <row r="16" spans="1:19" ht="21" x14ac:dyDescent="0.35">
      <c r="A16" s="82"/>
      <c r="B16" s="82"/>
      <c r="C16" s="85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70" t="s">
        <v>20</v>
      </c>
      <c r="C18" s="65" t="s">
        <v>85</v>
      </c>
      <c r="D18" s="65"/>
      <c r="E18" s="65"/>
      <c r="F18" s="66"/>
      <c r="G18" s="66"/>
      <c r="H18" s="71" t="s">
        <v>21</v>
      </c>
      <c r="I18" s="66" t="s">
        <v>84</v>
      </c>
      <c r="J18" s="72" t="s">
        <v>20</v>
      </c>
      <c r="K18" s="67"/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70" t="s">
        <v>21</v>
      </c>
      <c r="C19" s="65"/>
      <c r="D19" s="65"/>
      <c r="E19" s="65"/>
      <c r="F19" s="71" t="s">
        <v>20</v>
      </c>
      <c r="G19" s="66"/>
      <c r="H19" s="71"/>
      <c r="I19" s="66"/>
      <c r="J19" s="67"/>
      <c r="K19" s="67"/>
      <c r="L19" s="72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70" t="s">
        <v>20</v>
      </c>
      <c r="E20" s="65"/>
      <c r="F20" s="71" t="s">
        <v>21</v>
      </c>
      <c r="G20" s="66" t="s">
        <v>85</v>
      </c>
      <c r="H20" s="71"/>
      <c r="I20" s="66"/>
      <c r="J20" s="72" t="s">
        <v>21</v>
      </c>
      <c r="K20" s="67" t="s">
        <v>85</v>
      </c>
      <c r="L20" s="67"/>
      <c r="M20" s="67"/>
      <c r="N20" s="81">
        <f>COUNTIF(B20:M20,"w*")</f>
        <v>2</v>
      </c>
    </row>
    <row r="21" spans="1:14" ht="21" x14ac:dyDescent="0.35">
      <c r="A21" s="84" t="s">
        <v>67</v>
      </c>
      <c r="B21" s="65"/>
      <c r="C21" s="65"/>
      <c r="D21" s="70" t="s">
        <v>21</v>
      </c>
      <c r="E21" s="65" t="s">
        <v>84</v>
      </c>
      <c r="F21" s="71"/>
      <c r="G21" s="66"/>
      <c r="H21" s="71" t="s">
        <v>20</v>
      </c>
      <c r="I21" s="66"/>
      <c r="J21" s="67"/>
      <c r="K21" s="67"/>
      <c r="L21" s="72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5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70" t="s">
        <v>21</v>
      </c>
      <c r="C25" s="65"/>
      <c r="D25" s="65"/>
      <c r="E25" s="65"/>
      <c r="F25" s="66"/>
      <c r="G25" s="66"/>
      <c r="H25" s="71" t="s">
        <v>20</v>
      </c>
      <c r="I25" s="66" t="s">
        <v>86</v>
      </c>
      <c r="J25" s="72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70" t="s">
        <v>20</v>
      </c>
      <c r="C26" s="65" t="s">
        <v>86</v>
      </c>
      <c r="D26" s="65"/>
      <c r="E26" s="65"/>
      <c r="F26" s="71" t="s">
        <v>21</v>
      </c>
      <c r="G26" s="66" t="s">
        <v>83</v>
      </c>
      <c r="H26" s="71"/>
      <c r="I26" s="66"/>
      <c r="J26" s="67"/>
      <c r="K26" s="67"/>
      <c r="L26" s="72" t="s">
        <v>21</v>
      </c>
      <c r="M26" s="67"/>
      <c r="N26" s="81">
        <f>COUNTIF(B26:M26,"w*")</f>
        <v>2</v>
      </c>
    </row>
    <row r="27" spans="1:14" ht="21" x14ac:dyDescent="0.35">
      <c r="A27" s="69" t="s">
        <v>6</v>
      </c>
      <c r="B27" s="65"/>
      <c r="C27" s="65"/>
      <c r="D27" s="70" t="s">
        <v>21</v>
      </c>
      <c r="E27" s="65"/>
      <c r="F27" s="71" t="s">
        <v>20</v>
      </c>
      <c r="G27" s="66"/>
      <c r="H27" s="71"/>
      <c r="I27" s="66"/>
      <c r="J27" s="72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84" t="s">
        <v>67</v>
      </c>
      <c r="B28" s="65"/>
      <c r="C28" s="65"/>
      <c r="D28" s="70" t="s">
        <v>20</v>
      </c>
      <c r="E28" s="65" t="s">
        <v>85</v>
      </c>
      <c r="F28" s="71"/>
      <c r="G28" s="66"/>
      <c r="H28" s="71" t="s">
        <v>21</v>
      </c>
      <c r="I28" s="66"/>
      <c r="J28" s="67"/>
      <c r="K28" s="67"/>
      <c r="L28" s="72" t="s">
        <v>20</v>
      </c>
      <c r="M28" s="67" t="s">
        <v>85</v>
      </c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5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70" t="s">
        <v>20</v>
      </c>
      <c r="C32" s="65" t="s">
        <v>85</v>
      </c>
      <c r="D32" s="65"/>
      <c r="E32" s="65"/>
      <c r="F32" s="66"/>
      <c r="G32" s="66"/>
      <c r="H32" s="71" t="s">
        <v>21</v>
      </c>
      <c r="I32" s="66"/>
      <c r="J32" s="72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70" t="s">
        <v>21</v>
      </c>
      <c r="C33" s="65"/>
      <c r="D33" s="65"/>
      <c r="E33" s="65"/>
      <c r="F33" s="71" t="s">
        <v>20</v>
      </c>
      <c r="G33" s="66"/>
      <c r="H33" s="71"/>
      <c r="I33" s="66" t="s">
        <v>82</v>
      </c>
      <c r="J33" s="67"/>
      <c r="K33" s="67"/>
      <c r="L33" s="72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70" t="s">
        <v>20</v>
      </c>
      <c r="E34" s="65"/>
      <c r="F34" s="71" t="s">
        <v>21</v>
      </c>
      <c r="G34" s="66" t="s">
        <v>86</v>
      </c>
      <c r="H34" s="71"/>
      <c r="I34" s="66"/>
      <c r="J34" s="72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84" t="s">
        <v>67</v>
      </c>
      <c r="B35" s="65"/>
      <c r="C35" s="65"/>
      <c r="D35" s="70" t="s">
        <v>21</v>
      </c>
      <c r="E35" s="65" t="s">
        <v>86</v>
      </c>
      <c r="F35" s="71"/>
      <c r="G35" s="66" t="s">
        <v>101</v>
      </c>
      <c r="H35" s="71" t="s">
        <v>20</v>
      </c>
      <c r="I35" s="66" t="s">
        <v>85</v>
      </c>
      <c r="J35" s="67"/>
      <c r="K35" s="67"/>
      <c r="L35" s="72" t="s">
        <v>21</v>
      </c>
      <c r="M35" s="67" t="s">
        <v>83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5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1:32" ht="21" x14ac:dyDescent="0.35">
      <c r="A39" s="69" t="s">
        <v>7</v>
      </c>
      <c r="B39" s="70" t="s">
        <v>21</v>
      </c>
      <c r="C39" s="65" t="s">
        <v>84</v>
      </c>
      <c r="D39" s="65"/>
      <c r="E39" s="65"/>
      <c r="F39" s="66"/>
      <c r="G39" s="66"/>
      <c r="H39" s="71" t="s">
        <v>20</v>
      </c>
      <c r="I39" s="66"/>
      <c r="J39" s="72" t="s">
        <v>21</v>
      </c>
      <c r="K39" s="67"/>
      <c r="L39" s="67"/>
      <c r="M39" s="67"/>
      <c r="N39" s="81">
        <f>COUNTIF(B39:M39,"w*")</f>
        <v>1</v>
      </c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1:32" ht="21" x14ac:dyDescent="0.35">
      <c r="A40" s="69" t="s">
        <v>8</v>
      </c>
      <c r="B40" s="70" t="s">
        <v>20</v>
      </c>
      <c r="C40" s="65"/>
      <c r="D40" s="65"/>
      <c r="E40" s="65"/>
      <c r="F40" s="71" t="s">
        <v>21</v>
      </c>
      <c r="G40" s="66"/>
      <c r="H40" s="71"/>
      <c r="I40" s="66"/>
      <c r="J40" s="67"/>
      <c r="K40" s="67"/>
      <c r="L40" s="72" t="s">
        <v>21</v>
      </c>
      <c r="M40" s="67" t="s">
        <v>82</v>
      </c>
      <c r="N40" s="81">
        <f>COUNTIF(B40:M40,"w*")</f>
        <v>0</v>
      </c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1:32" ht="21" x14ac:dyDescent="0.35">
      <c r="A41" s="69" t="s">
        <v>6</v>
      </c>
      <c r="B41" s="65"/>
      <c r="C41" s="65"/>
      <c r="D41" s="70" t="s">
        <v>21</v>
      </c>
      <c r="E41" s="65"/>
      <c r="F41" s="71" t="s">
        <v>20</v>
      </c>
      <c r="G41" s="66" t="s">
        <v>83</v>
      </c>
      <c r="H41" s="71"/>
      <c r="I41" s="66"/>
      <c r="J41" s="72" t="s">
        <v>20</v>
      </c>
      <c r="K41" s="67" t="s">
        <v>84</v>
      </c>
      <c r="L41" s="67"/>
      <c r="M41" s="67"/>
      <c r="N41" s="81">
        <f>COUNTIF(B41:M41,"w*")</f>
        <v>2</v>
      </c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1:32" ht="21" x14ac:dyDescent="0.35">
      <c r="A42" s="84" t="s">
        <v>67</v>
      </c>
      <c r="B42" s="65"/>
      <c r="C42" s="65"/>
      <c r="D42" s="70" t="s">
        <v>20</v>
      </c>
      <c r="E42" s="65" t="s">
        <v>83</v>
      </c>
      <c r="F42" s="71"/>
      <c r="G42" s="66"/>
      <c r="H42" s="71" t="s">
        <v>21</v>
      </c>
      <c r="I42" s="66" t="s">
        <v>85</v>
      </c>
      <c r="J42" s="67"/>
      <c r="K42" s="67"/>
      <c r="L42" s="72" t="s">
        <v>20</v>
      </c>
      <c r="M42" s="67" t="s">
        <v>85</v>
      </c>
      <c r="N42" s="81">
        <f>COUNTIF(B42:M42,"w*")</f>
        <v>3</v>
      </c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1:32" ht="21" x14ac:dyDescent="0.35">
      <c r="A44" s="82"/>
      <c r="B44" s="82"/>
      <c r="C44" s="85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70" t="s">
        <v>20</v>
      </c>
      <c r="C46" s="65"/>
      <c r="D46" s="65"/>
      <c r="E46" s="65"/>
      <c r="F46" s="66"/>
      <c r="G46" s="66"/>
      <c r="H46" s="71" t="s">
        <v>21</v>
      </c>
      <c r="I46" s="66"/>
      <c r="J46" s="72" t="s">
        <v>20</v>
      </c>
      <c r="K46" s="67"/>
      <c r="L46" s="72"/>
      <c r="M46" s="67"/>
      <c r="N46" s="81">
        <f>COUNTIF(B46:M46,"w*")</f>
        <v>0</v>
      </c>
    </row>
    <row r="47" spans="1:32" ht="21" x14ac:dyDescent="0.35">
      <c r="A47" s="69" t="s">
        <v>8</v>
      </c>
      <c r="B47" s="70" t="s">
        <v>21</v>
      </c>
      <c r="C47" s="65"/>
      <c r="D47" s="65"/>
      <c r="E47" s="65"/>
      <c r="F47" s="71" t="s">
        <v>20</v>
      </c>
      <c r="G47" s="66"/>
      <c r="H47" s="71"/>
      <c r="I47" s="66"/>
      <c r="J47" s="67"/>
      <c r="K47" s="67"/>
      <c r="L47" s="72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70" t="s">
        <v>20</v>
      </c>
      <c r="E48" s="65"/>
      <c r="F48" s="71" t="s">
        <v>21</v>
      </c>
      <c r="G48" s="66"/>
      <c r="H48" s="71"/>
      <c r="I48" s="66"/>
      <c r="J48" s="72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84" t="s">
        <v>67</v>
      </c>
      <c r="B49" s="65"/>
      <c r="C49" s="65"/>
      <c r="D49" s="70" t="s">
        <v>21</v>
      </c>
      <c r="E49" s="65"/>
      <c r="F49" s="71"/>
      <c r="G49" s="66"/>
      <c r="H49" s="71" t="s">
        <v>20</v>
      </c>
      <c r="I49" s="66"/>
      <c r="J49" s="67"/>
      <c r="K49" s="67"/>
      <c r="L49" s="72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70" t="s">
        <v>21</v>
      </c>
      <c r="C53" s="65"/>
      <c r="D53" s="65"/>
      <c r="E53" s="65"/>
      <c r="F53" s="66"/>
      <c r="G53" s="66"/>
      <c r="H53" s="71" t="s">
        <v>20</v>
      </c>
      <c r="I53" s="66"/>
      <c r="J53" s="72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70" t="s">
        <v>20</v>
      </c>
      <c r="C54" s="65"/>
      <c r="D54" s="65"/>
      <c r="E54" s="65"/>
      <c r="F54" s="71" t="s">
        <v>21</v>
      </c>
      <c r="G54" s="66"/>
      <c r="H54" s="71"/>
      <c r="I54" s="66"/>
      <c r="J54" s="67"/>
      <c r="K54" s="67"/>
      <c r="L54" s="72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70" t="s">
        <v>21</v>
      </c>
      <c r="E55" s="65"/>
      <c r="F55" s="71" t="s">
        <v>20</v>
      </c>
      <c r="G55" s="66"/>
      <c r="H55" s="71"/>
      <c r="I55" s="66" t="s">
        <v>82</v>
      </c>
      <c r="J55" s="72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84" t="s">
        <v>67</v>
      </c>
      <c r="B56" s="65"/>
      <c r="C56" s="65"/>
      <c r="D56" s="70" t="s">
        <v>20</v>
      </c>
      <c r="E56" s="65"/>
      <c r="F56" s="71"/>
      <c r="G56" s="66"/>
      <c r="H56" s="71" t="s">
        <v>21</v>
      </c>
      <c r="I56" s="66"/>
      <c r="J56" s="67"/>
      <c r="K56" s="67"/>
      <c r="L56" s="72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71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71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84" t="s">
        <v>67</v>
      </c>
      <c r="B63" s="65"/>
      <c r="C63" s="65"/>
      <c r="D63" s="65" t="s">
        <v>21</v>
      </c>
      <c r="E63" s="65"/>
      <c r="F63" s="71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70" t="s">
        <v>21</v>
      </c>
      <c r="C67" s="65"/>
      <c r="D67" s="65"/>
      <c r="E67" s="65"/>
      <c r="F67" s="66"/>
      <c r="G67" s="66"/>
      <c r="H67" s="71" t="s">
        <v>20</v>
      </c>
      <c r="I67" s="66"/>
      <c r="J67" s="72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70" t="s">
        <v>20</v>
      </c>
      <c r="C68" s="65"/>
      <c r="D68" s="65"/>
      <c r="E68" s="65"/>
      <c r="F68" s="71" t="s">
        <v>21</v>
      </c>
      <c r="G68" s="66"/>
      <c r="H68" s="71"/>
      <c r="I68" s="66"/>
      <c r="J68" s="67"/>
      <c r="K68" s="67"/>
      <c r="L68" s="72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70" t="s">
        <v>21</v>
      </c>
      <c r="E69" s="65"/>
      <c r="F69" s="71" t="s">
        <v>20</v>
      </c>
      <c r="G69" s="66"/>
      <c r="H69" s="71"/>
      <c r="I69" s="66" t="s">
        <v>82</v>
      </c>
      <c r="J69" s="72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84" t="s">
        <v>67</v>
      </c>
      <c r="B70" s="65"/>
      <c r="C70" s="65"/>
      <c r="D70" s="70" t="s">
        <v>20</v>
      </c>
      <c r="E70" s="65" t="s">
        <v>82</v>
      </c>
      <c r="F70" s="71"/>
      <c r="G70" s="66"/>
      <c r="H70" s="71" t="s">
        <v>21</v>
      </c>
      <c r="I70" s="66"/>
      <c r="J70" s="67"/>
      <c r="K70" s="67"/>
      <c r="L70" s="72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71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71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84" t="s">
        <v>67</v>
      </c>
      <c r="B77" s="65"/>
      <c r="C77" s="65"/>
      <c r="D77" s="65" t="s">
        <v>21</v>
      </c>
      <c r="E77" s="65"/>
      <c r="F77" s="71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70" t="s">
        <v>21</v>
      </c>
      <c r="C81" s="65"/>
      <c r="D81" s="65"/>
      <c r="E81" s="65"/>
      <c r="F81" s="66"/>
      <c r="G81" s="66"/>
      <c r="H81" s="71" t="s">
        <v>20</v>
      </c>
      <c r="I81" s="66"/>
      <c r="J81" s="72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70" t="s">
        <v>20</v>
      </c>
      <c r="C82" s="65"/>
      <c r="D82" s="65"/>
      <c r="E82" s="65"/>
      <c r="F82" s="71" t="s">
        <v>21</v>
      </c>
      <c r="G82" s="66"/>
      <c r="H82" s="71"/>
      <c r="I82" s="66"/>
      <c r="J82" s="67"/>
      <c r="K82" s="67"/>
      <c r="L82" s="72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70" t="s">
        <v>21</v>
      </c>
      <c r="E83" s="65"/>
      <c r="F83" s="71" t="s">
        <v>20</v>
      </c>
      <c r="G83" s="66"/>
      <c r="H83" s="71"/>
      <c r="I83" s="66" t="s">
        <v>82</v>
      </c>
      <c r="J83" s="72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84" t="s">
        <v>67</v>
      </c>
      <c r="B84" s="65"/>
      <c r="C84" s="65"/>
      <c r="D84" s="70" t="s">
        <v>20</v>
      </c>
      <c r="E84" s="65"/>
      <c r="F84" s="71"/>
      <c r="G84" s="66"/>
      <c r="H84" s="71" t="s">
        <v>21</v>
      </c>
      <c r="I84" s="66"/>
      <c r="J84" s="67"/>
      <c r="K84" s="67" t="s">
        <v>82</v>
      </c>
      <c r="L84" s="72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7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3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114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AC304-89B7-4D77-9523-B56FC5E487F7}">
  <sheetPr codeName="Sheet72"/>
  <dimension ref="A2:AF995"/>
  <sheetViews>
    <sheetView topLeftCell="A66" zoomScaleNormal="100" workbookViewId="0">
      <selection activeCell="A85" sqref="A85:N8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86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85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84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85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86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 t="s">
        <v>83</v>
      </c>
      <c r="J25" s="67" t="s">
        <v>21</v>
      </c>
      <c r="K25" s="67"/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/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 t="s">
        <v>84</v>
      </c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85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83</v>
      </c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 t="s">
        <v>86</v>
      </c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86</v>
      </c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 t="s">
        <v>84</v>
      </c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84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 t="s">
        <v>84</v>
      </c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 t="s">
        <v>84</v>
      </c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 t="s">
        <v>85</v>
      </c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 t="s">
        <v>86</v>
      </c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1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 t="s">
        <v>83</v>
      </c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 t="s">
        <v>85</v>
      </c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 t="s">
        <v>85</v>
      </c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11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6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16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B1F5B-4620-4FAB-A89F-C50B1A534D10}">
  <sheetPr codeName="Sheet73"/>
  <dimension ref="A2:AF995"/>
  <sheetViews>
    <sheetView zoomScaleNormal="100" workbookViewId="0">
      <selection activeCell="M36" sqref="M36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 t="s">
        <v>84</v>
      </c>
      <c r="D5" s="65"/>
      <c r="E5" s="65"/>
      <c r="F5" s="66" t="s">
        <v>20</v>
      </c>
      <c r="G5" s="66"/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 t="s">
        <v>85</v>
      </c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 t="s">
        <v>86</v>
      </c>
      <c r="N7" s="116">
        <f>COUNTIF(B7:M7,"w*")</f>
        <v>3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 t="s">
        <v>85</v>
      </c>
      <c r="H12" s="66"/>
      <c r="I12" s="66"/>
      <c r="J12" s="67"/>
      <c r="K12" s="67"/>
      <c r="L12" s="67" t="s">
        <v>21</v>
      </c>
      <c r="M12" s="67"/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 t="s">
        <v>83</v>
      </c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85</v>
      </c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 t="s">
        <v>86</v>
      </c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3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 t="s">
        <v>84</v>
      </c>
      <c r="J21" s="67"/>
      <c r="K21" s="67"/>
      <c r="L21" s="67" t="s">
        <v>21</v>
      </c>
      <c r="M21" s="67" t="s">
        <v>83</v>
      </c>
      <c r="N21" s="81">
        <f>COUNTIF(B21:M21,"w*")</f>
        <v>2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83</v>
      </c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 t="s">
        <v>86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 t="s">
        <v>84</v>
      </c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1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84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 t="s">
        <v>85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82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/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5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9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B977-4F38-46EA-82F2-B309D0BDCDE3}">
  <sheetPr codeName="Sheet74"/>
  <dimension ref="A2:AF995"/>
  <sheetViews>
    <sheetView topLeftCell="A19" zoomScaleNormal="100" workbookViewId="0">
      <selection activeCell="K77" sqref="K77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83</v>
      </c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 t="s">
        <v>83</v>
      </c>
      <c r="H5" s="66"/>
      <c r="I5" s="66" t="s">
        <v>82</v>
      </c>
      <c r="J5" s="67"/>
      <c r="K5" s="67"/>
      <c r="L5" s="67" t="s">
        <v>20</v>
      </c>
      <c r="M5" s="67"/>
      <c r="N5" s="116">
        <f>COUNTIF(B5:M5,"w*")</f>
        <v>1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/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83</v>
      </c>
      <c r="H13" s="66"/>
      <c r="I13" s="66"/>
      <c r="J13" s="67" t="s">
        <v>20</v>
      </c>
      <c r="K13" s="67" t="s">
        <v>84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4" ht="21" x14ac:dyDescent="0.35">
      <c r="A19" s="69" t="s">
        <v>8</v>
      </c>
      <c r="B19" s="65" t="s">
        <v>21</v>
      </c>
      <c r="C19" s="65" t="s">
        <v>86</v>
      </c>
      <c r="D19" s="65"/>
      <c r="E19" s="65"/>
      <c r="F19" s="66" t="s">
        <v>20</v>
      </c>
      <c r="G19" s="66" t="s">
        <v>86</v>
      </c>
      <c r="H19" s="66"/>
      <c r="I19" s="66"/>
      <c r="J19" s="67"/>
      <c r="K19" s="67"/>
      <c r="L19" s="67" t="s">
        <v>20</v>
      </c>
      <c r="M19" s="67"/>
      <c r="N19" s="81">
        <f>COUNTIF(B19:M19,"w*")</f>
        <v>2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85</v>
      </c>
      <c r="L20" s="67"/>
      <c r="M20" s="67"/>
      <c r="N20" s="81">
        <f>COUNTIF(B20:M20,"w*")</f>
        <v>1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86</v>
      </c>
      <c r="L25" s="67"/>
      <c r="M25" s="67"/>
      <c r="N25" s="81">
        <f>COUNTIF(B25:M25,"w*")</f>
        <v>2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86</v>
      </c>
      <c r="H26" s="66"/>
      <c r="I26" s="66"/>
      <c r="J26" s="67"/>
      <c r="K26" s="67"/>
      <c r="L26" s="67" t="s">
        <v>21</v>
      </c>
      <c r="M26" s="67"/>
      <c r="N26" s="81">
        <f>COUNTIF(B26:M26,"w*")</f>
        <v>1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 t="s">
        <v>85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83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 t="s">
        <v>86</v>
      </c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1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86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 t="s">
        <v>84</v>
      </c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2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86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85</v>
      </c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84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86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 t="s">
        <v>84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82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 t="s">
        <v>83</v>
      </c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1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 t="s">
        <v>83</v>
      </c>
      <c r="H76" s="66"/>
      <c r="I76" s="66"/>
      <c r="J76" s="67" t="s">
        <v>21</v>
      </c>
      <c r="K76" s="67" t="s">
        <v>85</v>
      </c>
      <c r="L76" s="67"/>
      <c r="M76" s="67"/>
      <c r="N76" s="81">
        <f>COUNTIF(B76:M76,"w*")</f>
        <v>2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7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694-2FCD-4867-BE2E-C68F58B6B754}">
  <sheetPr codeName="Sheet75"/>
  <dimension ref="A2:AF995"/>
  <sheetViews>
    <sheetView zoomScaleNormal="100" workbookViewId="0">
      <selection activeCell="I75" sqref="I75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85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 t="s">
        <v>85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/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85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4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4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86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4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4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4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4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4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4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4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4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4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2</v>
      </c>
    </row>
    <row r="28" spans="1:14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4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4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</row>
    <row r="31" spans="1:14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4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85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83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86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/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84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86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 t="s">
        <v>86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84</v>
      </c>
      <c r="J67" s="67" t="s">
        <v>21</v>
      </c>
      <c r="K67" s="67" t="s">
        <v>86</v>
      </c>
      <c r="L67" s="67"/>
      <c r="M67" s="67"/>
      <c r="N67" s="81">
        <f>COUNTIF(B67:M67,"w*")</f>
        <v>2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86</v>
      </c>
      <c r="J74" s="67" t="s">
        <v>20</v>
      </c>
      <c r="K74" s="67"/>
      <c r="L74" s="67"/>
      <c r="M74" s="67"/>
      <c r="N74" s="81">
        <f>COUNTIF(B74:M74,"w*")</f>
        <v>1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 t="s">
        <v>83</v>
      </c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1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5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17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DED86-919B-4E4D-B9B8-5419B2C67F87}">
  <sheetPr codeName="Sheet76"/>
  <dimension ref="A2:AF995"/>
  <sheetViews>
    <sheetView topLeftCell="A21" zoomScaleNormal="100" workbookViewId="0">
      <selection activeCell="I29" sqref="I29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86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86</v>
      </c>
      <c r="F7" s="76"/>
      <c r="G7" s="76" t="s">
        <v>82</v>
      </c>
      <c r="H7" s="66" t="s">
        <v>20</v>
      </c>
      <c r="I7" s="66" t="s">
        <v>84</v>
      </c>
      <c r="J7" s="78"/>
      <c r="K7" s="78"/>
      <c r="L7" s="78" t="s">
        <v>21</v>
      </c>
      <c r="M7" s="78"/>
      <c r="N7" s="116">
        <f>COUNTIF(B7:M7,"w*")</f>
        <v>2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85</v>
      </c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83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83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86</v>
      </c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85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86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101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84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86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84</v>
      </c>
      <c r="F70" s="66"/>
      <c r="G70" s="66"/>
      <c r="H70" s="66" t="s">
        <v>21</v>
      </c>
      <c r="I70" s="66" t="s">
        <v>85</v>
      </c>
      <c r="J70" s="67"/>
      <c r="K70" s="67"/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12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771F-E0F5-4DBD-B6A7-6AAFF42CB737}">
  <sheetPr codeName="Sheet77"/>
  <dimension ref="A2:AF995"/>
  <sheetViews>
    <sheetView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83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0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86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 t="s">
        <v>83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86</v>
      </c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86</v>
      </c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83</v>
      </c>
      <c r="F42" s="66"/>
      <c r="G42" s="66"/>
      <c r="H42" s="66" t="s">
        <v>21</v>
      </c>
      <c r="I42" s="66" t="s">
        <v>84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83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86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86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86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 t="s">
        <v>85</v>
      </c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83</v>
      </c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 t="s">
        <v>84</v>
      </c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 t="s">
        <v>86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86</v>
      </c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12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6A0A-E119-4D14-B30F-1EE3B6DE640B}">
  <sheetPr codeName="Sheet78"/>
  <dimension ref="A2:AF995"/>
  <sheetViews>
    <sheetView topLeftCell="A74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84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86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 t="s">
        <v>86</v>
      </c>
      <c r="J11" s="67" t="s">
        <v>21</v>
      </c>
      <c r="K11" s="67" t="s">
        <v>86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83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86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86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83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85</v>
      </c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0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86</v>
      </c>
      <c r="F35" s="66"/>
      <c r="G35" s="66" t="s">
        <v>101</v>
      </c>
      <c r="H35" s="66" t="s">
        <v>20</v>
      </c>
      <c r="I35" s="66" t="s">
        <v>83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/>
      <c r="L39" s="67"/>
      <c r="M39" s="67"/>
      <c r="N39" s="81">
        <f>COUNTIF(B39:M39,"w*")</f>
        <v>1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83</v>
      </c>
      <c r="F41" s="66" t="s">
        <v>20</v>
      </c>
      <c r="G41" s="66"/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2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/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85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86</v>
      </c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85</v>
      </c>
      <c r="F56" s="66"/>
      <c r="G56" s="66"/>
      <c r="H56" s="66" t="s">
        <v>21</v>
      </c>
      <c r="I56" s="66" t="s">
        <v>86</v>
      </c>
      <c r="J56" s="67"/>
      <c r="K56" s="67"/>
      <c r="L56" s="67" t="s">
        <v>20</v>
      </c>
      <c r="M56" s="67"/>
      <c r="N56" s="81">
        <f>COUNTIF(B56:M56,"w*")</f>
        <v>2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 t="s">
        <v>83</v>
      </c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86</v>
      </c>
      <c r="F63" s="66"/>
      <c r="G63" s="66"/>
      <c r="H63" s="66" t="s">
        <v>20</v>
      </c>
      <c r="I63" s="66" t="s">
        <v>85</v>
      </c>
      <c r="J63" s="67"/>
      <c r="K63" s="67"/>
      <c r="L63" s="67" t="s">
        <v>21</v>
      </c>
      <c r="M63" s="67"/>
      <c r="N63" s="81">
        <f>COUNTIF(B63:M63,"w*")</f>
        <v>2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83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85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/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10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7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13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515BD-84CA-4E8E-9FAE-8FFF833049C2}">
  <sheetPr codeName="Sheet79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83</v>
      </c>
      <c r="J4" s="67" t="s">
        <v>20</v>
      </c>
      <c r="K4" s="67"/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83</v>
      </c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2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86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84</v>
      </c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1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86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1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 t="s">
        <v>86</v>
      </c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86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84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/>
      <c r="N35" s="81">
        <f>COUNTIF(B35:M35,"w*")</f>
        <v>2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/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86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85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85</v>
      </c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1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86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85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83</v>
      </c>
      <c r="J60" s="67" t="s">
        <v>20</v>
      </c>
      <c r="K60" s="67"/>
      <c r="L60" s="67"/>
      <c r="M60" s="67"/>
      <c r="N60" s="81">
        <f>COUNTIF(B60:M60,"w*")</f>
        <v>1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85</v>
      </c>
      <c r="F62" s="66" t="s">
        <v>21</v>
      </c>
      <c r="G62" s="66"/>
      <c r="H62" s="66"/>
      <c r="I62" s="66"/>
      <c r="J62" s="67" t="s">
        <v>21</v>
      </c>
      <c r="K62" s="67" t="s">
        <v>84</v>
      </c>
      <c r="L62" s="67"/>
      <c r="M62" s="67"/>
      <c r="N62" s="81">
        <f>COUNTIF(B62:M62,"w*")</f>
        <v>2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 t="s">
        <v>86</v>
      </c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 t="s">
        <v>83</v>
      </c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85</v>
      </c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8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9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08AE-4023-4322-AB8A-A20A5A0D2192}">
  <sheetPr codeName="Sheet80"/>
  <dimension ref="A2:AF995"/>
  <sheetViews>
    <sheetView topLeftCell="A76" zoomScaleNormal="100" workbookViewId="0">
      <selection activeCell="A100" sqref="A10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 t="s">
        <v>86</v>
      </c>
      <c r="D4" s="65"/>
      <c r="E4" s="65"/>
      <c r="F4" s="66"/>
      <c r="G4" s="66"/>
      <c r="H4" s="66" t="s">
        <v>21</v>
      </c>
      <c r="I4" s="66" t="s">
        <v>84</v>
      </c>
      <c r="J4" s="67" t="s">
        <v>20</v>
      </c>
      <c r="K4" s="67"/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86</v>
      </c>
      <c r="F6" s="76" t="s">
        <v>21</v>
      </c>
      <c r="G6" s="76" t="s">
        <v>86</v>
      </c>
      <c r="H6" s="66"/>
      <c r="I6" s="66"/>
      <c r="J6" s="78" t="s">
        <v>21</v>
      </c>
      <c r="K6" s="78" t="s">
        <v>84</v>
      </c>
      <c r="L6" s="78"/>
      <c r="M6" s="78"/>
      <c r="N6" s="116">
        <f>COUNTIF(B6:M6,"w*")</f>
        <v>3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 t="s">
        <v>84</v>
      </c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86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2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 t="s">
        <v>86</v>
      </c>
      <c r="N12" s="81">
        <f>COUNTIF(B12:M12,"w*")</f>
        <v>1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 t="s">
        <v>84</v>
      </c>
      <c r="H13" s="66"/>
      <c r="I13" s="66"/>
      <c r="J13" s="67" t="s">
        <v>20</v>
      </c>
      <c r="K13" s="67"/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 t="s">
        <v>83</v>
      </c>
      <c r="J18" s="67" t="s">
        <v>20</v>
      </c>
      <c r="K18" s="67" t="s">
        <v>84</v>
      </c>
      <c r="L18" s="67"/>
      <c r="M18" s="67"/>
      <c r="N18" s="81">
        <f>COUNTIF(B18:M18,"w*")</f>
        <v>3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 t="s">
        <v>83</v>
      </c>
      <c r="H19" s="66"/>
      <c r="I19" s="66"/>
      <c r="J19" s="67"/>
      <c r="K19" s="67"/>
      <c r="L19" s="67" t="s">
        <v>20</v>
      </c>
      <c r="M19" s="67"/>
      <c r="N19" s="81">
        <f>COUNTIF(B19:M19,"w*")</f>
        <v>1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84</v>
      </c>
      <c r="F21" s="66"/>
      <c r="G21" s="66"/>
      <c r="H21" s="66" t="s">
        <v>20</v>
      </c>
      <c r="I21" s="66"/>
      <c r="J21" s="67"/>
      <c r="K21" s="67"/>
      <c r="L21" s="67" t="s">
        <v>21</v>
      </c>
      <c r="M21" s="67" t="s">
        <v>84</v>
      </c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86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 t="s">
        <v>85</v>
      </c>
      <c r="H26" s="66"/>
      <c r="I26" s="66"/>
      <c r="J26" s="67"/>
      <c r="K26" s="67"/>
      <c r="L26" s="67" t="s">
        <v>21</v>
      </c>
      <c r="M26" s="67" t="s">
        <v>86</v>
      </c>
      <c r="N26" s="81">
        <f>COUNTIF(B26:M26,"w*")</f>
        <v>2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 t="s">
        <v>85</v>
      </c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83</v>
      </c>
      <c r="F28" s="66"/>
      <c r="G28" s="66"/>
      <c r="H28" s="66" t="s">
        <v>21</v>
      </c>
      <c r="I28" s="66" t="s">
        <v>86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84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 t="s">
        <v>83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/>
      <c r="F34" s="66" t="s">
        <v>21</v>
      </c>
      <c r="G34" s="66" t="s">
        <v>85</v>
      </c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 t="s">
        <v>83</v>
      </c>
      <c r="F35" s="66"/>
      <c r="G35" s="66" t="s">
        <v>101</v>
      </c>
      <c r="H35" s="66" t="s">
        <v>20</v>
      </c>
      <c r="I35" s="66" t="s">
        <v>86</v>
      </c>
      <c r="J35" s="67"/>
      <c r="K35" s="67"/>
      <c r="L35" s="67" t="s">
        <v>21</v>
      </c>
      <c r="M35" s="67" t="s">
        <v>84</v>
      </c>
      <c r="N35" s="81">
        <f>COUNTIF(B35:M35,"w*")</f>
        <v>3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83</v>
      </c>
      <c r="D39" s="65"/>
      <c r="E39" s="65"/>
      <c r="F39" s="66"/>
      <c r="G39" s="66"/>
      <c r="H39" s="66" t="s">
        <v>20</v>
      </c>
      <c r="I39" s="66" t="s">
        <v>85</v>
      </c>
      <c r="J39" s="67" t="s">
        <v>21</v>
      </c>
      <c r="K39" s="67"/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 t="s">
        <v>85</v>
      </c>
      <c r="F41" s="66" t="s">
        <v>20</v>
      </c>
      <c r="G41" s="66" t="s">
        <v>83</v>
      </c>
      <c r="H41" s="66"/>
      <c r="I41" s="66"/>
      <c r="J41" s="67" t="s">
        <v>20</v>
      </c>
      <c r="K41" s="67" t="s">
        <v>86</v>
      </c>
      <c r="L41" s="67"/>
      <c r="M41" s="67"/>
      <c r="N41" s="81">
        <f>COUNTIF(B41:M41,"w*")</f>
        <v>3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83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/>
      <c r="L48" s="67"/>
      <c r="M48" s="67"/>
      <c r="N48" s="81">
        <f>COUNTIF(B48:M48,"w*")</f>
        <v>0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/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/>
      <c r="J53" s="67" t="s">
        <v>21</v>
      </c>
      <c r="K53" s="67"/>
      <c r="L53" s="67"/>
      <c r="M53" s="67"/>
      <c r="N53" s="81">
        <f>COUNTIF(B53:M53,"w*")</f>
        <v>0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0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/>
      <c r="J60" s="67" t="s">
        <v>20</v>
      </c>
      <c r="K60" s="67"/>
      <c r="L60" s="67"/>
      <c r="M60" s="67"/>
      <c r="N60" s="81">
        <f>COUNTIF(B60:M60,"w*")</f>
        <v>0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0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12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10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F1EC1-D2FF-471A-AAF7-BEAAE69E13B1}">
  <sheetPr codeName="Sheet81"/>
  <dimension ref="A2:AF995"/>
  <sheetViews>
    <sheetView topLeftCell="A70" zoomScaleNormal="100" workbookViewId="0">
      <selection activeCell="K70" sqref="K70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/>
      <c r="L4" s="67"/>
      <c r="M4" s="67"/>
      <c r="N4" s="116">
        <f>COUNTIF(B4:M4,"w*")</f>
        <v>0</v>
      </c>
    </row>
    <row r="5" spans="1:19" ht="21" x14ac:dyDescent="0.35">
      <c r="A5" s="69" t="s">
        <v>8</v>
      </c>
      <c r="B5" s="65" t="s">
        <v>21</v>
      </c>
      <c r="C5" s="65" t="s">
        <v>83</v>
      </c>
      <c r="D5" s="65"/>
      <c r="E5" s="65"/>
      <c r="F5" s="66" t="s">
        <v>20</v>
      </c>
      <c r="G5" s="66" t="s">
        <v>85</v>
      </c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2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 t="s">
        <v>83</v>
      </c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0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 t="s">
        <v>85</v>
      </c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 t="s">
        <v>86</v>
      </c>
      <c r="H13" s="66"/>
      <c r="I13" s="66"/>
      <c r="J13" s="67" t="s">
        <v>20</v>
      </c>
      <c r="K13" s="67" t="s">
        <v>86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82</v>
      </c>
      <c r="F14" s="66"/>
      <c r="G14" s="66"/>
      <c r="H14" s="66" t="s">
        <v>21</v>
      </c>
      <c r="I14" s="66"/>
      <c r="J14" s="67"/>
      <c r="K14" s="67"/>
      <c r="L14" s="67" t="s">
        <v>20</v>
      </c>
      <c r="M14" s="67"/>
      <c r="N14" s="81">
        <f>COUNTIF(B14:M14,"w*")</f>
        <v>0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 t="s">
        <v>86</v>
      </c>
      <c r="D18" s="65"/>
      <c r="E18" s="65"/>
      <c r="F18" s="66"/>
      <c r="G18" s="66"/>
      <c r="H18" s="66" t="s">
        <v>21</v>
      </c>
      <c r="I18" s="66"/>
      <c r="J18" s="67" t="s">
        <v>20</v>
      </c>
      <c r="K18" s="67"/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 t="s">
        <v>86</v>
      </c>
      <c r="H20" s="66"/>
      <c r="I20" s="66"/>
      <c r="J20" s="67" t="s">
        <v>21</v>
      </c>
      <c r="K20" s="67" t="s">
        <v>83</v>
      </c>
      <c r="L20" s="67"/>
      <c r="M20" s="67"/>
      <c r="N20" s="81">
        <f>COUNTIF(B20:M20,"w*")</f>
        <v>2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 t="s">
        <v>85</v>
      </c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85</v>
      </c>
      <c r="L25" s="67"/>
      <c r="M25" s="67"/>
      <c r="N25" s="81">
        <f>COUNTIF(B25:M25,"w*")</f>
        <v>2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 t="s">
        <v>85</v>
      </c>
      <c r="H27" s="66"/>
      <c r="I27" s="66"/>
      <c r="J27" s="67" t="s">
        <v>20</v>
      </c>
      <c r="K27" s="67"/>
      <c r="L27" s="67"/>
      <c r="M27" s="67"/>
      <c r="N27" s="81">
        <f>COUNTIF(B27:M27,"w*")</f>
        <v>1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/>
      <c r="J28" s="67"/>
      <c r="K28" s="67"/>
      <c r="L28" s="67" t="s">
        <v>20</v>
      </c>
      <c r="M28" s="67"/>
      <c r="N28" s="81">
        <f>COUNTIF(B28:M28,"w*")</f>
        <v>0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 t="s">
        <v>86</v>
      </c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1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83</v>
      </c>
      <c r="F34" s="66" t="s">
        <v>21</v>
      </c>
      <c r="G34" s="66"/>
      <c r="H34" s="66"/>
      <c r="I34" s="66"/>
      <c r="J34" s="67" t="s">
        <v>21</v>
      </c>
      <c r="K34" s="67" t="s">
        <v>86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 t="s">
        <v>86</v>
      </c>
      <c r="D39" s="65"/>
      <c r="E39" s="65"/>
      <c r="F39" s="66"/>
      <c r="G39" s="66"/>
      <c r="H39" s="66" t="s">
        <v>20</v>
      </c>
      <c r="I39" s="66"/>
      <c r="J39" s="67" t="s">
        <v>21</v>
      </c>
      <c r="K39" s="67" t="s">
        <v>84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 t="s">
        <v>83</v>
      </c>
      <c r="H41" s="66"/>
      <c r="I41" s="66"/>
      <c r="J41" s="67" t="s">
        <v>20</v>
      </c>
      <c r="K41" s="67"/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/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0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 t="s">
        <v>86</v>
      </c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 t="s">
        <v>85</v>
      </c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1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 t="s">
        <v>86</v>
      </c>
      <c r="H48" s="66"/>
      <c r="I48" s="66"/>
      <c r="J48" s="67" t="s">
        <v>21</v>
      </c>
      <c r="K48" s="67"/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 t="s">
        <v>85</v>
      </c>
      <c r="D53" s="65"/>
      <c r="E53" s="65"/>
      <c r="F53" s="66"/>
      <c r="G53" s="66"/>
      <c r="H53" s="66" t="s">
        <v>20</v>
      </c>
      <c r="I53" s="66"/>
      <c r="J53" s="67" t="s">
        <v>21</v>
      </c>
      <c r="K53" s="67" t="s">
        <v>85</v>
      </c>
      <c r="L53" s="67"/>
      <c r="M53" s="67"/>
      <c r="N53" s="81">
        <f>COUNTIF(B53:M53,"w*")</f>
        <v>2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 t="s">
        <v>86</v>
      </c>
      <c r="H55" s="66"/>
      <c r="I55" s="66" t="s">
        <v>82</v>
      </c>
      <c r="J55" s="67" t="s">
        <v>20</v>
      </c>
      <c r="K55" s="67"/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82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 t="s">
        <v>85</v>
      </c>
      <c r="D60" s="65"/>
      <c r="E60" s="65"/>
      <c r="F60" s="66"/>
      <c r="G60" s="66"/>
      <c r="H60" s="66" t="s">
        <v>21</v>
      </c>
      <c r="I60" s="66"/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 t="s">
        <v>83</v>
      </c>
      <c r="H61" s="66"/>
      <c r="I61" s="66"/>
      <c r="J61" s="67"/>
      <c r="K61" s="67"/>
      <c r="L61" s="67" t="s">
        <v>20</v>
      </c>
      <c r="M61" s="67"/>
      <c r="N61" s="81">
        <f>COUNTIF(B61:M61,"w*")</f>
        <v>1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 t="s">
        <v>83</v>
      </c>
      <c r="D67" s="65"/>
      <c r="E67" s="65"/>
      <c r="F67" s="66"/>
      <c r="G67" s="66"/>
      <c r="H67" s="66" t="s">
        <v>20</v>
      </c>
      <c r="I67" s="66"/>
      <c r="J67" s="67" t="s">
        <v>21</v>
      </c>
      <c r="K67" s="67"/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82</v>
      </c>
      <c r="F69" s="66" t="s">
        <v>20</v>
      </c>
      <c r="G69" s="66" t="s">
        <v>86</v>
      </c>
      <c r="H69" s="66"/>
      <c r="I69" s="66" t="s">
        <v>82</v>
      </c>
      <c r="J69" s="67" t="s">
        <v>20</v>
      </c>
      <c r="K69" s="67" t="s">
        <v>85</v>
      </c>
      <c r="L69" s="67"/>
      <c r="M69" s="67"/>
      <c r="N69" s="81">
        <f>COUNTIF(B69:M69,"w*")</f>
        <v>2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/>
      <c r="J70" s="67"/>
      <c r="K70" s="67" t="s">
        <v>82</v>
      </c>
      <c r="L70" s="67" t="s">
        <v>20</v>
      </c>
      <c r="M70" s="67"/>
      <c r="N70" s="81">
        <f>COUNTIF(B70:M70,"w*")</f>
        <v>0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/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/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13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4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072B2-C3E3-47DE-AA74-27ACAC4749EE}">
  <sheetPr codeName="Sheet82"/>
  <dimension ref="A2:AF995"/>
  <sheetViews>
    <sheetView topLeftCell="A55" zoomScaleNormal="100" workbookViewId="0">
      <selection activeCell="M74" sqref="M74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/>
      <c r="J4" s="67" t="s">
        <v>20</v>
      </c>
      <c r="K4" s="67" t="s">
        <v>83</v>
      </c>
      <c r="L4" s="67"/>
      <c r="M4" s="67"/>
      <c r="N4" s="116">
        <f>COUNTIF(B4:M4,"w*")</f>
        <v>1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 t="s">
        <v>85</v>
      </c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1</v>
      </c>
    </row>
    <row r="7" spans="1:19" ht="21" x14ac:dyDescent="0.35">
      <c r="A7" s="117" t="s">
        <v>67</v>
      </c>
      <c r="B7" s="74"/>
      <c r="C7" s="74"/>
      <c r="D7" s="65" t="s">
        <v>21</v>
      </c>
      <c r="E7" s="65"/>
      <c r="F7" s="76"/>
      <c r="G7" s="76" t="s">
        <v>82</v>
      </c>
      <c r="H7" s="66" t="s">
        <v>20</v>
      </c>
      <c r="I7" s="66" t="s">
        <v>83</v>
      </c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/>
      <c r="L11" s="67"/>
      <c r="M11" s="67"/>
      <c r="N11" s="81">
        <f>COUNTIF(B11:M11,"w*")</f>
        <v>0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 t="s">
        <v>83</v>
      </c>
      <c r="F13" s="66" t="s">
        <v>20</v>
      </c>
      <c r="G13" s="66"/>
      <c r="H13" s="66"/>
      <c r="I13" s="66"/>
      <c r="J13" s="67" t="s">
        <v>20</v>
      </c>
      <c r="K13" s="67" t="s">
        <v>83</v>
      </c>
      <c r="L13" s="67"/>
      <c r="M13" s="67"/>
      <c r="N13" s="81">
        <f>COUNTIF(B13:M13,"w*")</f>
        <v>2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/>
      <c r="F14" s="66"/>
      <c r="G14" s="66"/>
      <c r="H14" s="66" t="s">
        <v>21</v>
      </c>
      <c r="I14" s="66" t="s">
        <v>83</v>
      </c>
      <c r="J14" s="67"/>
      <c r="K14" s="67"/>
      <c r="L14" s="67" t="s">
        <v>20</v>
      </c>
      <c r="M14" s="67"/>
      <c r="N14" s="81">
        <f>COUNTIF(B14:M14,"w*")</f>
        <v>1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/>
      <c r="J18" s="67" t="s">
        <v>20</v>
      </c>
      <c r="K18" s="67" t="s">
        <v>86</v>
      </c>
      <c r="L18" s="67"/>
      <c r="M18" s="67"/>
      <c r="N18" s="81">
        <f>COUNTIF(B18:M18,"w*")</f>
        <v>1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/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0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 t="s">
        <v>83</v>
      </c>
      <c r="F21" s="66"/>
      <c r="G21" s="66"/>
      <c r="H21" s="66" t="s">
        <v>20</v>
      </c>
      <c r="I21" s="66" t="s">
        <v>86</v>
      </c>
      <c r="J21" s="67"/>
      <c r="K21" s="67"/>
      <c r="L21" s="67" t="s">
        <v>21</v>
      </c>
      <c r="M21" s="67"/>
      <c r="N21" s="81">
        <f>COUNTIF(B21:M21,"w*")</f>
        <v>2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/>
      <c r="L25" s="67"/>
      <c r="M25" s="67"/>
      <c r="N25" s="81">
        <f>COUNTIF(B25:M25,"w*")</f>
        <v>0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 t="s">
        <v>85</v>
      </c>
      <c r="F27" s="66" t="s">
        <v>20</v>
      </c>
      <c r="G27" s="66"/>
      <c r="H27" s="66"/>
      <c r="I27" s="66"/>
      <c r="J27" s="67" t="s">
        <v>20</v>
      </c>
      <c r="K27" s="67" t="s">
        <v>83</v>
      </c>
      <c r="L27" s="67"/>
      <c r="M27" s="67"/>
      <c r="N27" s="81">
        <f>COUNTIF(B27:M27,"w*")</f>
        <v>2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/>
      <c r="F28" s="66"/>
      <c r="G28" s="66"/>
      <c r="H28" s="66" t="s">
        <v>21</v>
      </c>
      <c r="I28" s="66" t="s">
        <v>85</v>
      </c>
      <c r="J28" s="67"/>
      <c r="K28" s="67"/>
      <c r="L28" s="67" t="s">
        <v>20</v>
      </c>
      <c r="M28" s="67"/>
      <c r="N28" s="81">
        <f>COUNTIF(B28:M28,"w*")</f>
        <v>1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/>
      <c r="J32" s="67" t="s">
        <v>20</v>
      </c>
      <c r="K32" s="67"/>
      <c r="L32" s="67"/>
      <c r="M32" s="67"/>
      <c r="N32" s="81">
        <f>COUNTIF(B32:M32,"w*")</f>
        <v>0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84</v>
      </c>
      <c r="F34" s="66" t="s">
        <v>21</v>
      </c>
      <c r="G34" s="66"/>
      <c r="H34" s="66"/>
      <c r="I34" s="66"/>
      <c r="J34" s="67" t="s">
        <v>21</v>
      </c>
      <c r="K34" s="67" t="s">
        <v>85</v>
      </c>
      <c r="L34" s="67"/>
      <c r="M34" s="67"/>
      <c r="N34" s="81">
        <f>COUNTIF(B34:M34,"w*")</f>
        <v>2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 t="s">
        <v>84</v>
      </c>
      <c r="J35" s="67"/>
      <c r="K35" s="67"/>
      <c r="L35" s="67" t="s">
        <v>21</v>
      </c>
      <c r="M35" s="67"/>
      <c r="N35" s="81">
        <f>COUNTIF(B35:M35,"w*")</f>
        <v>1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/>
      <c r="J39" s="67" t="s">
        <v>21</v>
      </c>
      <c r="K39" s="67"/>
      <c r="L39" s="67"/>
      <c r="M39" s="67"/>
      <c r="N39" s="81">
        <f>COUNTIF(B39:M39,"w*")</f>
        <v>0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 t="s">
        <v>85</v>
      </c>
      <c r="L41" s="67"/>
      <c r="M41" s="67"/>
      <c r="N41" s="81">
        <f>COUNTIF(B41:M41,"w*")</f>
        <v>1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84</v>
      </c>
      <c r="F42" s="66"/>
      <c r="G42" s="66"/>
      <c r="H42" s="66" t="s">
        <v>21</v>
      </c>
      <c r="I42" s="66" t="s">
        <v>83</v>
      </c>
      <c r="J42" s="67"/>
      <c r="K42" s="67"/>
      <c r="L42" s="67" t="s">
        <v>20</v>
      </c>
      <c r="M42" s="67" t="s">
        <v>82</v>
      </c>
      <c r="N42" s="81">
        <f>COUNTIF(B42:M42,"w*")</f>
        <v>2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 t="s">
        <v>85</v>
      </c>
      <c r="J46" s="67" t="s">
        <v>20</v>
      </c>
      <c r="K46" s="67"/>
      <c r="L46" s="67"/>
      <c r="M46" s="67"/>
      <c r="N46" s="81">
        <f>COUNTIF(B46:M46,"w*")</f>
        <v>1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 t="s">
        <v>85</v>
      </c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2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/>
      <c r="F49" s="66"/>
      <c r="G49" s="66" t="s">
        <v>82</v>
      </c>
      <c r="H49" s="66" t="s">
        <v>20</v>
      </c>
      <c r="I49" s="66"/>
      <c r="J49" s="67"/>
      <c r="K49" s="67"/>
      <c r="L49" s="67" t="s">
        <v>21</v>
      </c>
      <c r="M49" s="67"/>
      <c r="N49" s="81">
        <f>COUNTIF(B49:M49,"w*")</f>
        <v>0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85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/>
      <c r="F55" s="66" t="s">
        <v>20</v>
      </c>
      <c r="G55" s="66"/>
      <c r="H55" s="66"/>
      <c r="I55" s="66" t="s">
        <v>82</v>
      </c>
      <c r="J55" s="67" t="s">
        <v>20</v>
      </c>
      <c r="K55" s="67" t="s">
        <v>83</v>
      </c>
      <c r="L55" s="67"/>
      <c r="M55" s="67"/>
      <c r="N55" s="81">
        <f>COUNTIF(B55:M55,"w*")</f>
        <v>1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 t="s">
        <v>83</v>
      </c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1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85</v>
      </c>
      <c r="J60" s="67" t="s">
        <v>20</v>
      </c>
      <c r="K60" s="67" t="s">
        <v>85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 t="s">
        <v>84</v>
      </c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1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/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0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83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/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0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 t="s">
        <v>83</v>
      </c>
      <c r="F70" s="66"/>
      <c r="G70" s="66"/>
      <c r="H70" s="66" t="s">
        <v>21</v>
      </c>
      <c r="I70" s="66" t="s">
        <v>86</v>
      </c>
      <c r="J70" s="67"/>
      <c r="K70" s="67" t="s">
        <v>82</v>
      </c>
      <c r="L70" s="67" t="s">
        <v>20</v>
      </c>
      <c r="M70" s="67"/>
      <c r="N70" s="81">
        <f>COUNTIF(B70:M70,"w*")</f>
        <v>2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 t="s">
        <v>83</v>
      </c>
      <c r="J74" s="67" t="s">
        <v>20</v>
      </c>
      <c r="K74" s="67" t="s">
        <v>84</v>
      </c>
      <c r="L74" s="67"/>
      <c r="M74" s="67"/>
      <c r="N74" s="81">
        <f>COUNTIF(B74:M74,"w*")</f>
        <v>2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86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1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9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13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11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3AF52-4CBB-4619-A452-6E5040A1E7C7}">
  <sheetPr codeName="Sheet83"/>
  <dimension ref="A2:AF995"/>
  <sheetViews>
    <sheetView topLeftCell="A76" zoomScaleNormal="100" workbookViewId="0">
      <selection activeCell="K68" sqref="K68"/>
    </sheetView>
  </sheetViews>
  <sheetFormatPr defaultColWidth="14.42578125" defaultRowHeight="15" customHeight="1" x14ac:dyDescent="0.25"/>
  <cols>
    <col min="1" max="1" width="11.42578125" style="37" customWidth="1"/>
    <col min="2" max="4" width="8.7109375" style="37" customWidth="1"/>
    <col min="5" max="5" width="9.140625" style="37" customWidth="1"/>
    <col min="6" max="6" width="8.7109375" style="37" customWidth="1"/>
    <col min="7" max="13" width="12.28515625" style="37" customWidth="1"/>
    <col min="14" max="14" width="14.85546875" style="37" customWidth="1"/>
    <col min="15" max="32" width="8.7109375" style="37" customWidth="1"/>
    <col min="33" max="16384" width="14.42578125" style="37"/>
  </cols>
  <sheetData>
    <row r="2" spans="1:19" ht="38.25" x14ac:dyDescent="0.35">
      <c r="A2" s="63"/>
      <c r="B2" s="63"/>
      <c r="C2" s="63" t="s">
        <v>16</v>
      </c>
      <c r="D2" s="63"/>
      <c r="E2" s="63"/>
      <c r="F2" s="63" t="s">
        <v>82</v>
      </c>
      <c r="G2" s="63"/>
      <c r="H2" s="63"/>
      <c r="I2" s="63"/>
      <c r="J2" s="63"/>
      <c r="K2" s="63"/>
      <c r="L2" s="63"/>
      <c r="M2" s="63"/>
      <c r="N2" s="115" t="s">
        <v>17</v>
      </c>
    </row>
    <row r="3" spans="1:19" ht="21" x14ac:dyDescent="0.35">
      <c r="A3" s="63"/>
      <c r="B3" s="65" t="s">
        <v>18</v>
      </c>
      <c r="C3" s="65" t="s">
        <v>19</v>
      </c>
      <c r="D3" s="65" t="s">
        <v>18</v>
      </c>
      <c r="E3" s="65" t="s">
        <v>19</v>
      </c>
      <c r="F3" s="66" t="s">
        <v>18</v>
      </c>
      <c r="G3" s="66" t="s">
        <v>19</v>
      </c>
      <c r="H3" s="66" t="s">
        <v>18</v>
      </c>
      <c r="I3" s="66" t="s">
        <v>19</v>
      </c>
      <c r="J3" s="67" t="s">
        <v>18</v>
      </c>
      <c r="K3" s="67" t="s">
        <v>19</v>
      </c>
      <c r="L3" s="67" t="s">
        <v>18</v>
      </c>
      <c r="M3" s="67" t="s">
        <v>19</v>
      </c>
      <c r="N3" s="116"/>
    </row>
    <row r="4" spans="1:19" ht="21" x14ac:dyDescent="0.35">
      <c r="A4" s="69" t="s">
        <v>7</v>
      </c>
      <c r="B4" s="65" t="s">
        <v>20</v>
      </c>
      <c r="C4" s="65"/>
      <c r="D4" s="65"/>
      <c r="E4" s="65"/>
      <c r="F4" s="66"/>
      <c r="G4" s="66"/>
      <c r="H4" s="66" t="s">
        <v>21</v>
      </c>
      <c r="I4" s="66" t="s">
        <v>85</v>
      </c>
      <c r="J4" s="67" t="s">
        <v>20</v>
      </c>
      <c r="K4" s="67" t="s">
        <v>86</v>
      </c>
      <c r="L4" s="67"/>
      <c r="M4" s="67"/>
      <c r="N4" s="116">
        <f>COUNTIF(B4:M4,"w*")</f>
        <v>2</v>
      </c>
    </row>
    <row r="5" spans="1:19" ht="21" x14ac:dyDescent="0.35">
      <c r="A5" s="69" t="s">
        <v>8</v>
      </c>
      <c r="B5" s="65" t="s">
        <v>21</v>
      </c>
      <c r="C5" s="65"/>
      <c r="D5" s="65"/>
      <c r="E5" s="65"/>
      <c r="F5" s="66" t="s">
        <v>20</v>
      </c>
      <c r="G5" s="66"/>
      <c r="H5" s="66"/>
      <c r="I5" s="66" t="s">
        <v>82</v>
      </c>
      <c r="J5" s="67"/>
      <c r="K5" s="67" t="s">
        <v>82</v>
      </c>
      <c r="L5" s="67" t="s">
        <v>20</v>
      </c>
      <c r="M5" s="67"/>
      <c r="N5" s="116">
        <f>COUNTIF(B5:M5,"w*")</f>
        <v>0</v>
      </c>
    </row>
    <row r="6" spans="1:19" ht="21" x14ac:dyDescent="0.35">
      <c r="A6" s="117" t="s">
        <v>6</v>
      </c>
      <c r="B6" s="74"/>
      <c r="C6" s="74" t="s">
        <v>82</v>
      </c>
      <c r="D6" s="65" t="s">
        <v>20</v>
      </c>
      <c r="E6" s="65"/>
      <c r="F6" s="76" t="s">
        <v>21</v>
      </c>
      <c r="G6" s="76"/>
      <c r="H6" s="66"/>
      <c r="I6" s="66"/>
      <c r="J6" s="78" t="s">
        <v>21</v>
      </c>
      <c r="K6" s="78"/>
      <c r="L6" s="78"/>
      <c r="M6" s="78"/>
      <c r="N6" s="116">
        <f>COUNTIF(B6:M6,"w*")</f>
        <v>0</v>
      </c>
    </row>
    <row r="7" spans="1:19" ht="21" x14ac:dyDescent="0.35">
      <c r="A7" s="117" t="s">
        <v>67</v>
      </c>
      <c r="B7" s="74"/>
      <c r="C7" s="74"/>
      <c r="D7" s="65" t="s">
        <v>21</v>
      </c>
      <c r="E7" s="65" t="s">
        <v>83</v>
      </c>
      <c r="F7" s="76"/>
      <c r="G7" s="76" t="s">
        <v>82</v>
      </c>
      <c r="H7" s="66" t="s">
        <v>20</v>
      </c>
      <c r="I7" s="66"/>
      <c r="J7" s="78"/>
      <c r="K7" s="78"/>
      <c r="L7" s="78" t="s">
        <v>21</v>
      </c>
      <c r="M7" s="78"/>
      <c r="N7" s="116">
        <f>COUNTIF(B7:M7,"w*")</f>
        <v>1</v>
      </c>
    </row>
    <row r="8" spans="1:19" ht="21" x14ac:dyDescent="0.35">
      <c r="A8" s="80"/>
      <c r="B8" s="80"/>
      <c r="C8" s="80"/>
      <c r="D8" s="80"/>
      <c r="E8" s="80" t="s">
        <v>82</v>
      </c>
      <c r="F8" s="80"/>
      <c r="G8" s="80"/>
      <c r="H8" s="80"/>
      <c r="I8" s="80" t="s">
        <v>82</v>
      </c>
      <c r="J8" s="80"/>
      <c r="K8" s="80"/>
      <c r="L8" s="80"/>
      <c r="M8" s="80"/>
      <c r="N8" s="81"/>
    </row>
    <row r="9" spans="1:19" ht="21" x14ac:dyDescent="0.35">
      <c r="A9" s="82"/>
      <c r="B9" s="82"/>
      <c r="C9" s="82" t="s">
        <v>22</v>
      </c>
      <c r="D9" s="82"/>
      <c r="E9" s="82"/>
      <c r="F9" s="82"/>
      <c r="G9" s="82"/>
      <c r="H9" s="82"/>
      <c r="I9" s="82"/>
      <c r="J9" s="82"/>
      <c r="K9" s="82"/>
      <c r="L9" s="82"/>
      <c r="M9" s="82"/>
      <c r="N9" s="83"/>
    </row>
    <row r="10" spans="1:19" ht="21" x14ac:dyDescent="0.35">
      <c r="A10" s="63"/>
      <c r="B10" s="65" t="s">
        <v>18</v>
      </c>
      <c r="C10" s="65" t="s">
        <v>19</v>
      </c>
      <c r="D10" s="65" t="s">
        <v>18</v>
      </c>
      <c r="E10" s="65" t="s">
        <v>19</v>
      </c>
      <c r="F10" s="66" t="s">
        <v>18</v>
      </c>
      <c r="G10" s="66" t="s">
        <v>19</v>
      </c>
      <c r="H10" s="66" t="s">
        <v>18</v>
      </c>
      <c r="I10" s="66" t="s">
        <v>19</v>
      </c>
      <c r="J10" s="67" t="s">
        <v>18</v>
      </c>
      <c r="K10" s="67" t="s">
        <v>19</v>
      </c>
      <c r="L10" s="67" t="s">
        <v>18</v>
      </c>
      <c r="M10" s="67" t="s">
        <v>19</v>
      </c>
      <c r="N10" s="81"/>
    </row>
    <row r="11" spans="1:19" ht="21" x14ac:dyDescent="0.35">
      <c r="A11" s="69" t="s">
        <v>7</v>
      </c>
      <c r="B11" s="65" t="s">
        <v>21</v>
      </c>
      <c r="C11" s="65"/>
      <c r="D11" s="65"/>
      <c r="E11" s="65"/>
      <c r="F11" s="66"/>
      <c r="G11" s="66"/>
      <c r="H11" s="66" t="s">
        <v>20</v>
      </c>
      <c r="I11" s="66"/>
      <c r="J11" s="67" t="s">
        <v>21</v>
      </c>
      <c r="K11" s="67" t="s">
        <v>85</v>
      </c>
      <c r="L11" s="67"/>
      <c r="M11" s="67"/>
      <c r="N11" s="81">
        <f>COUNTIF(B11:M11,"w*")</f>
        <v>1</v>
      </c>
    </row>
    <row r="12" spans="1:19" ht="21" x14ac:dyDescent="0.35">
      <c r="A12" s="69" t="s">
        <v>8</v>
      </c>
      <c r="B12" s="65" t="s">
        <v>20</v>
      </c>
      <c r="C12" s="65"/>
      <c r="D12" s="65"/>
      <c r="E12" s="65"/>
      <c r="F12" s="66" t="s">
        <v>21</v>
      </c>
      <c r="G12" s="66"/>
      <c r="H12" s="66"/>
      <c r="I12" s="66" t="s">
        <v>82</v>
      </c>
      <c r="J12" s="67"/>
      <c r="K12" s="67"/>
      <c r="L12" s="67" t="s">
        <v>21</v>
      </c>
      <c r="M12" s="67"/>
      <c r="N12" s="81">
        <f>COUNTIF(B12:M12,"w*")</f>
        <v>0</v>
      </c>
    </row>
    <row r="13" spans="1:19" ht="21" x14ac:dyDescent="0.35">
      <c r="A13" s="69" t="s">
        <v>6</v>
      </c>
      <c r="B13" s="65"/>
      <c r="C13" s="65"/>
      <c r="D13" s="65" t="s">
        <v>21</v>
      </c>
      <c r="E13" s="65"/>
      <c r="F13" s="66" t="s">
        <v>20</v>
      </c>
      <c r="G13" s="66"/>
      <c r="H13" s="66"/>
      <c r="I13" s="66"/>
      <c r="J13" s="67" t="s">
        <v>20</v>
      </c>
      <c r="K13" s="67"/>
      <c r="L13" s="67"/>
      <c r="M13" s="67"/>
      <c r="N13" s="81">
        <f>COUNTIF(B13:M13,"w*")</f>
        <v>0</v>
      </c>
    </row>
    <row r="14" spans="1:19" ht="21" x14ac:dyDescent="0.35">
      <c r="A14" s="69" t="s">
        <v>67</v>
      </c>
      <c r="B14" s="65"/>
      <c r="C14" s="65"/>
      <c r="D14" s="65" t="s">
        <v>20</v>
      </c>
      <c r="E14" s="65" t="s">
        <v>86</v>
      </c>
      <c r="F14" s="66"/>
      <c r="G14" s="66"/>
      <c r="H14" s="66" t="s">
        <v>21</v>
      </c>
      <c r="I14" s="66" t="s">
        <v>84</v>
      </c>
      <c r="J14" s="67"/>
      <c r="K14" s="67"/>
      <c r="L14" s="67" t="s">
        <v>20</v>
      </c>
      <c r="M14" s="67"/>
      <c r="N14" s="81">
        <f>COUNTIF(B14:M14,"w*")</f>
        <v>2</v>
      </c>
    </row>
    <row r="15" spans="1:19" ht="21" x14ac:dyDescent="0.3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1"/>
      <c r="S15" s="37" t="s">
        <v>82</v>
      </c>
    </row>
    <row r="16" spans="1:19" ht="21" x14ac:dyDescent="0.35">
      <c r="A16" s="82"/>
      <c r="B16" s="82"/>
      <c r="C16" s="82" t="s">
        <v>23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3"/>
    </row>
    <row r="17" spans="1:15" ht="21" x14ac:dyDescent="0.35">
      <c r="A17" s="63"/>
      <c r="B17" s="65" t="s">
        <v>18</v>
      </c>
      <c r="C17" s="65" t="s">
        <v>19</v>
      </c>
      <c r="D17" s="65" t="s">
        <v>18</v>
      </c>
      <c r="E17" s="65" t="s">
        <v>19</v>
      </c>
      <c r="F17" s="66" t="s">
        <v>18</v>
      </c>
      <c r="G17" s="66" t="s">
        <v>19</v>
      </c>
      <c r="H17" s="66" t="s">
        <v>18</v>
      </c>
      <c r="I17" s="66" t="s">
        <v>19</v>
      </c>
      <c r="J17" s="67" t="s">
        <v>18</v>
      </c>
      <c r="K17" s="67" t="s">
        <v>19</v>
      </c>
      <c r="L17" s="67" t="s">
        <v>18</v>
      </c>
      <c r="M17" s="67" t="s">
        <v>19</v>
      </c>
      <c r="N17" s="81"/>
    </row>
    <row r="18" spans="1:15" ht="21" x14ac:dyDescent="0.35">
      <c r="A18" s="69" t="s">
        <v>7</v>
      </c>
      <c r="B18" s="65" t="s">
        <v>20</v>
      </c>
      <c r="C18" s="65"/>
      <c r="D18" s="65"/>
      <c r="E18" s="65"/>
      <c r="F18" s="66"/>
      <c r="G18" s="66"/>
      <c r="H18" s="66" t="s">
        <v>21</v>
      </c>
      <c r="I18" s="66" t="s">
        <v>84</v>
      </c>
      <c r="J18" s="67" t="s">
        <v>20</v>
      </c>
      <c r="K18" s="67" t="s">
        <v>85</v>
      </c>
      <c r="L18" s="67"/>
      <c r="M18" s="67"/>
      <c r="N18" s="81">
        <f>COUNTIF(B18:M18,"w*")</f>
        <v>2</v>
      </c>
    </row>
    <row r="19" spans="1:15" ht="21" x14ac:dyDescent="0.35">
      <c r="A19" s="69" t="s">
        <v>8</v>
      </c>
      <c r="B19" s="65" t="s">
        <v>21</v>
      </c>
      <c r="C19" s="65"/>
      <c r="D19" s="65"/>
      <c r="E19" s="65"/>
      <c r="F19" s="66" t="s">
        <v>20</v>
      </c>
      <c r="G19" s="66"/>
      <c r="H19" s="66"/>
      <c r="I19" s="66"/>
      <c r="J19" s="67"/>
      <c r="K19" s="67"/>
      <c r="L19" s="67" t="s">
        <v>20</v>
      </c>
      <c r="M19" s="67"/>
      <c r="N19" s="81">
        <f>COUNTIF(B19:M19,"w*")</f>
        <v>0</v>
      </c>
    </row>
    <row r="20" spans="1:15" ht="21" x14ac:dyDescent="0.35">
      <c r="A20" s="69" t="s">
        <v>6</v>
      </c>
      <c r="B20" s="65"/>
      <c r="C20" s="65"/>
      <c r="D20" s="65" t="s">
        <v>20</v>
      </c>
      <c r="E20" s="65" t="s">
        <v>86</v>
      </c>
      <c r="F20" s="66" t="s">
        <v>21</v>
      </c>
      <c r="G20" s="66"/>
      <c r="H20" s="66"/>
      <c r="I20" s="66"/>
      <c r="J20" s="67" t="s">
        <v>21</v>
      </c>
      <c r="K20" s="67"/>
      <c r="L20" s="67"/>
      <c r="M20" s="67"/>
      <c r="N20" s="81">
        <f>COUNTIF(B20:M20,"w*")</f>
        <v>1</v>
      </c>
    </row>
    <row r="21" spans="1:15" ht="21" x14ac:dyDescent="0.35">
      <c r="A21" s="69" t="s">
        <v>67</v>
      </c>
      <c r="B21" s="65"/>
      <c r="C21" s="65"/>
      <c r="D21" s="65" t="s">
        <v>21</v>
      </c>
      <c r="E21" s="65"/>
      <c r="F21" s="66"/>
      <c r="G21" s="66"/>
      <c r="H21" s="66" t="s">
        <v>20</v>
      </c>
      <c r="I21" s="66"/>
      <c r="J21" s="67"/>
      <c r="K21" s="67"/>
      <c r="L21" s="67" t="s">
        <v>21</v>
      </c>
      <c r="M21" s="67"/>
      <c r="N21" s="81">
        <f>COUNTIF(B21:M21,"w*")</f>
        <v>0</v>
      </c>
    </row>
    <row r="22" spans="1:15" ht="21" x14ac:dyDescent="0.35">
      <c r="A22" s="80"/>
      <c r="B22" s="80"/>
      <c r="C22" s="80"/>
      <c r="D22" s="80"/>
      <c r="E22" s="80"/>
      <c r="F22" s="80"/>
      <c r="G22" s="80"/>
      <c r="H22" s="80"/>
      <c r="I22" s="80" t="s">
        <v>82</v>
      </c>
      <c r="J22" s="80"/>
      <c r="K22" s="80"/>
      <c r="L22" s="80"/>
      <c r="M22" s="80"/>
      <c r="N22" s="81"/>
    </row>
    <row r="23" spans="1:15" ht="21" x14ac:dyDescent="0.35">
      <c r="A23" s="82"/>
      <c r="B23" s="82"/>
      <c r="C23" s="82" t="s">
        <v>24</v>
      </c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3"/>
    </row>
    <row r="24" spans="1:15" ht="15.75" customHeight="1" x14ac:dyDescent="0.35">
      <c r="A24" s="63"/>
      <c r="B24" s="65" t="s">
        <v>18</v>
      </c>
      <c r="C24" s="65" t="s">
        <v>19</v>
      </c>
      <c r="D24" s="65" t="s">
        <v>18</v>
      </c>
      <c r="E24" s="65" t="s">
        <v>19</v>
      </c>
      <c r="F24" s="66" t="s">
        <v>18</v>
      </c>
      <c r="G24" s="66" t="s">
        <v>19</v>
      </c>
      <c r="H24" s="66" t="s">
        <v>18</v>
      </c>
      <c r="I24" s="66" t="s">
        <v>19</v>
      </c>
      <c r="J24" s="67" t="s">
        <v>18</v>
      </c>
      <c r="K24" s="67" t="s">
        <v>19</v>
      </c>
      <c r="L24" s="67" t="s">
        <v>18</v>
      </c>
      <c r="M24" s="67" t="s">
        <v>19</v>
      </c>
      <c r="N24" s="81"/>
    </row>
    <row r="25" spans="1:15" ht="21" x14ac:dyDescent="0.35">
      <c r="A25" s="69" t="s">
        <v>7</v>
      </c>
      <c r="B25" s="65" t="s">
        <v>21</v>
      </c>
      <c r="C25" s="65"/>
      <c r="D25" s="65"/>
      <c r="E25" s="65"/>
      <c r="F25" s="66"/>
      <c r="G25" s="66"/>
      <c r="H25" s="66" t="s">
        <v>20</v>
      </c>
      <c r="I25" s="66"/>
      <c r="J25" s="67" t="s">
        <v>21</v>
      </c>
      <c r="K25" s="67" t="s">
        <v>84</v>
      </c>
      <c r="L25" s="67"/>
      <c r="M25" s="67"/>
      <c r="N25" s="81">
        <f>COUNTIF(B25:M25,"w*")</f>
        <v>1</v>
      </c>
    </row>
    <row r="26" spans="1:15" ht="25.9" customHeight="1" x14ac:dyDescent="0.35">
      <c r="A26" s="69" t="s">
        <v>8</v>
      </c>
      <c r="B26" s="65" t="s">
        <v>20</v>
      </c>
      <c r="C26" s="65" t="s">
        <v>82</v>
      </c>
      <c r="D26" s="65"/>
      <c r="E26" s="65"/>
      <c r="F26" s="66" t="s">
        <v>21</v>
      </c>
      <c r="G26" s="66"/>
      <c r="H26" s="66"/>
      <c r="I26" s="66"/>
      <c r="J26" s="67"/>
      <c r="K26" s="67"/>
      <c r="L26" s="67" t="s">
        <v>21</v>
      </c>
      <c r="M26" s="67"/>
      <c r="N26" s="81">
        <f>COUNTIF(B26:M26,"w*")</f>
        <v>0</v>
      </c>
    </row>
    <row r="27" spans="1:15" ht="21" x14ac:dyDescent="0.35">
      <c r="A27" s="69" t="s">
        <v>6</v>
      </c>
      <c r="B27" s="65"/>
      <c r="C27" s="65"/>
      <c r="D27" s="65" t="s">
        <v>21</v>
      </c>
      <c r="E27" s="65"/>
      <c r="F27" s="66" t="s">
        <v>20</v>
      </c>
      <c r="G27" s="66"/>
      <c r="H27" s="66"/>
      <c r="I27" s="66"/>
      <c r="J27" s="67" t="s">
        <v>20</v>
      </c>
      <c r="K27" s="67"/>
      <c r="L27" s="67"/>
      <c r="M27" s="67"/>
      <c r="N27" s="81">
        <f>COUNTIF(B27:M27,"w*")</f>
        <v>0</v>
      </c>
    </row>
    <row r="28" spans="1:15" ht="21" x14ac:dyDescent="0.35">
      <c r="A28" s="69" t="s">
        <v>67</v>
      </c>
      <c r="B28" s="65"/>
      <c r="C28" s="65"/>
      <c r="D28" s="65" t="s">
        <v>20</v>
      </c>
      <c r="E28" s="65" t="s">
        <v>85</v>
      </c>
      <c r="F28" s="66"/>
      <c r="G28" s="66"/>
      <c r="H28" s="66" t="s">
        <v>21</v>
      </c>
      <c r="I28" s="66" t="s">
        <v>84</v>
      </c>
      <c r="J28" s="67"/>
      <c r="K28" s="67"/>
      <c r="L28" s="67" t="s">
        <v>20</v>
      </c>
      <c r="M28" s="67"/>
      <c r="N28" s="81">
        <f>COUNTIF(B28:M28,"w*")</f>
        <v>2</v>
      </c>
    </row>
    <row r="29" spans="1:15" ht="21" x14ac:dyDescent="0.35">
      <c r="A29" s="80"/>
      <c r="B29" s="80"/>
      <c r="C29" s="80"/>
      <c r="D29" s="80"/>
      <c r="E29" s="80" t="s">
        <v>82</v>
      </c>
      <c r="F29" s="80"/>
      <c r="G29" s="80"/>
      <c r="H29" s="80"/>
      <c r="I29" s="80"/>
      <c r="J29" s="80"/>
      <c r="K29" s="80"/>
      <c r="L29" s="80"/>
      <c r="M29" s="80"/>
      <c r="N29" s="81"/>
    </row>
    <row r="30" spans="1:15" ht="21" x14ac:dyDescent="0.35">
      <c r="A30" s="82"/>
      <c r="B30" s="82"/>
      <c r="C30" s="82" t="s">
        <v>25</v>
      </c>
      <c r="D30" s="82"/>
      <c r="E30" s="82"/>
      <c r="F30" s="82"/>
      <c r="G30" s="82"/>
      <c r="H30" s="82"/>
      <c r="I30" s="82"/>
      <c r="J30" s="82"/>
      <c r="K30" s="82"/>
      <c r="L30" s="82"/>
      <c r="M30" s="82"/>
      <c r="N30" s="83"/>
      <c r="O30" s="37" t="s">
        <v>82</v>
      </c>
    </row>
    <row r="31" spans="1:15" ht="21" x14ac:dyDescent="0.35">
      <c r="A31" s="63"/>
      <c r="B31" s="65" t="s">
        <v>18</v>
      </c>
      <c r="C31" s="65" t="s">
        <v>19</v>
      </c>
      <c r="D31" s="65" t="s">
        <v>18</v>
      </c>
      <c r="E31" s="65" t="s">
        <v>19</v>
      </c>
      <c r="F31" s="66" t="s">
        <v>18</v>
      </c>
      <c r="G31" s="66" t="s">
        <v>19</v>
      </c>
      <c r="H31" s="66" t="s">
        <v>18</v>
      </c>
      <c r="I31" s="66" t="s">
        <v>19</v>
      </c>
      <c r="J31" s="67" t="s">
        <v>18</v>
      </c>
      <c r="K31" s="67" t="s">
        <v>19</v>
      </c>
      <c r="L31" s="67" t="s">
        <v>18</v>
      </c>
      <c r="M31" s="67" t="s">
        <v>19</v>
      </c>
      <c r="N31" s="81"/>
    </row>
    <row r="32" spans="1:15" ht="21" x14ac:dyDescent="0.35">
      <c r="A32" s="69" t="s">
        <v>7</v>
      </c>
      <c r="B32" s="65" t="s">
        <v>20</v>
      </c>
      <c r="C32" s="65"/>
      <c r="D32" s="65"/>
      <c r="E32" s="65"/>
      <c r="F32" s="66"/>
      <c r="G32" s="66"/>
      <c r="H32" s="66" t="s">
        <v>21</v>
      </c>
      <c r="I32" s="66" t="s">
        <v>83</v>
      </c>
      <c r="J32" s="67" t="s">
        <v>20</v>
      </c>
      <c r="K32" s="67" t="s">
        <v>85</v>
      </c>
      <c r="L32" s="67"/>
      <c r="M32" s="67"/>
      <c r="N32" s="81">
        <f>COUNTIF(B32:M32,"w*")</f>
        <v>2</v>
      </c>
    </row>
    <row r="33" spans="1:32" ht="21" x14ac:dyDescent="0.35">
      <c r="A33" s="69" t="s">
        <v>8</v>
      </c>
      <c r="B33" s="65" t="s">
        <v>21</v>
      </c>
      <c r="C33" s="65"/>
      <c r="D33" s="65"/>
      <c r="E33" s="65"/>
      <c r="F33" s="66" t="s">
        <v>20</v>
      </c>
      <c r="G33" s="66"/>
      <c r="H33" s="66"/>
      <c r="I33" s="66" t="s">
        <v>82</v>
      </c>
      <c r="J33" s="67"/>
      <c r="K33" s="67"/>
      <c r="L33" s="67" t="s">
        <v>20</v>
      </c>
      <c r="M33" s="67"/>
      <c r="N33" s="81">
        <f>COUNTIF(B33:M33,"w*")</f>
        <v>0</v>
      </c>
    </row>
    <row r="34" spans="1:32" ht="21" x14ac:dyDescent="0.35">
      <c r="A34" s="69" t="s">
        <v>6</v>
      </c>
      <c r="B34" s="65"/>
      <c r="C34" s="65"/>
      <c r="D34" s="65" t="s">
        <v>20</v>
      </c>
      <c r="E34" s="65" t="s">
        <v>86</v>
      </c>
      <c r="F34" s="66" t="s">
        <v>21</v>
      </c>
      <c r="G34" s="66"/>
      <c r="H34" s="66"/>
      <c r="I34" s="66"/>
      <c r="J34" s="67" t="s">
        <v>21</v>
      </c>
      <c r="K34" s="67"/>
      <c r="L34" s="67"/>
      <c r="M34" s="67"/>
      <c r="N34" s="81">
        <f>COUNTIF(B34:M34,"w*")</f>
        <v>1</v>
      </c>
    </row>
    <row r="35" spans="1:32" ht="21" x14ac:dyDescent="0.35">
      <c r="A35" s="69" t="s">
        <v>67</v>
      </c>
      <c r="B35" s="65"/>
      <c r="C35" s="65"/>
      <c r="D35" s="65" t="s">
        <v>21</v>
      </c>
      <c r="E35" s="65"/>
      <c r="F35" s="66"/>
      <c r="G35" s="66" t="s">
        <v>101</v>
      </c>
      <c r="H35" s="66" t="s">
        <v>20</v>
      </c>
      <c r="I35" s="66"/>
      <c r="J35" s="67"/>
      <c r="K35" s="67"/>
      <c r="L35" s="67" t="s">
        <v>21</v>
      </c>
      <c r="M35" s="67"/>
      <c r="N35" s="81">
        <f>COUNTIF(B35:M35,"w*")</f>
        <v>0</v>
      </c>
    </row>
    <row r="36" spans="1:32" ht="23.45" customHeight="1" x14ac:dyDescent="0.3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1"/>
    </row>
    <row r="37" spans="1:32" ht="21" x14ac:dyDescent="0.35">
      <c r="A37" s="82"/>
      <c r="B37" s="82"/>
      <c r="C37" s="82" t="s">
        <v>26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3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</row>
    <row r="38" spans="1:32" ht="21" x14ac:dyDescent="0.35">
      <c r="A38" s="63"/>
      <c r="B38" s="65" t="s">
        <v>18</v>
      </c>
      <c r="C38" s="65" t="s">
        <v>19</v>
      </c>
      <c r="D38" s="65" t="s">
        <v>18</v>
      </c>
      <c r="E38" s="65" t="s">
        <v>19</v>
      </c>
      <c r="F38" s="66" t="s">
        <v>18</v>
      </c>
      <c r="G38" s="66" t="s">
        <v>19</v>
      </c>
      <c r="H38" s="66" t="s">
        <v>18</v>
      </c>
      <c r="I38" s="66" t="s">
        <v>19</v>
      </c>
      <c r="J38" s="67" t="s">
        <v>18</v>
      </c>
      <c r="K38" s="67" t="s">
        <v>19</v>
      </c>
      <c r="L38" s="67" t="s">
        <v>18</v>
      </c>
      <c r="M38" s="67" t="s">
        <v>19</v>
      </c>
      <c r="N38" s="81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</row>
    <row r="39" spans="1:32" ht="21" x14ac:dyDescent="0.35">
      <c r="A39" s="69" t="s">
        <v>7</v>
      </c>
      <c r="B39" s="65" t="s">
        <v>21</v>
      </c>
      <c r="C39" s="65"/>
      <c r="D39" s="65"/>
      <c r="E39" s="65"/>
      <c r="F39" s="66"/>
      <c r="G39" s="66"/>
      <c r="H39" s="66" t="s">
        <v>20</v>
      </c>
      <c r="I39" s="66" t="s">
        <v>83</v>
      </c>
      <c r="J39" s="67" t="s">
        <v>21</v>
      </c>
      <c r="K39" s="67" t="s">
        <v>85</v>
      </c>
      <c r="L39" s="67"/>
      <c r="M39" s="67"/>
      <c r="N39" s="81">
        <f>COUNTIF(B39:M39,"w*")</f>
        <v>2</v>
      </c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</row>
    <row r="40" spans="1:32" ht="21" x14ac:dyDescent="0.35">
      <c r="A40" s="69" t="s">
        <v>8</v>
      </c>
      <c r="B40" s="65" t="s">
        <v>20</v>
      </c>
      <c r="C40" s="65"/>
      <c r="D40" s="65"/>
      <c r="E40" s="65"/>
      <c r="F40" s="66" t="s">
        <v>21</v>
      </c>
      <c r="G40" s="66"/>
      <c r="H40" s="66"/>
      <c r="I40" s="66"/>
      <c r="J40" s="67"/>
      <c r="K40" s="67"/>
      <c r="L40" s="67" t="s">
        <v>21</v>
      </c>
      <c r="M40" s="67"/>
      <c r="N40" s="81">
        <f>COUNTIF(B40:M40,"w*")</f>
        <v>0</v>
      </c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</row>
    <row r="41" spans="1:32" ht="21" x14ac:dyDescent="0.35">
      <c r="A41" s="69" t="s">
        <v>6</v>
      </c>
      <c r="B41" s="65"/>
      <c r="C41" s="65"/>
      <c r="D41" s="65" t="s">
        <v>21</v>
      </c>
      <c r="E41" s="65"/>
      <c r="F41" s="66" t="s">
        <v>20</v>
      </c>
      <c r="G41" s="66"/>
      <c r="H41" s="66"/>
      <c r="I41" s="66"/>
      <c r="J41" s="67" t="s">
        <v>20</v>
      </c>
      <c r="K41" s="67"/>
      <c r="L41" s="67"/>
      <c r="M41" s="67"/>
      <c r="N41" s="81">
        <f>COUNTIF(B41:M41,"w*")</f>
        <v>0</v>
      </c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</row>
    <row r="42" spans="1:32" ht="21" x14ac:dyDescent="0.35">
      <c r="A42" s="69" t="s">
        <v>67</v>
      </c>
      <c r="B42" s="65"/>
      <c r="C42" s="65"/>
      <c r="D42" s="65" t="s">
        <v>20</v>
      </c>
      <c r="E42" s="65" t="s">
        <v>85</v>
      </c>
      <c r="F42" s="66"/>
      <c r="G42" s="66"/>
      <c r="H42" s="66" t="s">
        <v>21</v>
      </c>
      <c r="I42" s="66"/>
      <c r="J42" s="67"/>
      <c r="K42" s="67"/>
      <c r="L42" s="67" t="s">
        <v>20</v>
      </c>
      <c r="M42" s="67" t="s">
        <v>82</v>
      </c>
      <c r="N42" s="81">
        <f>COUNTIF(B42:M42,"w*")</f>
        <v>1</v>
      </c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</row>
    <row r="43" spans="1:32" ht="21" x14ac:dyDescent="0.3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1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</row>
    <row r="44" spans="1:32" ht="21" x14ac:dyDescent="0.35">
      <c r="A44" s="82"/>
      <c r="B44" s="82"/>
      <c r="C44" s="82" t="s">
        <v>27</v>
      </c>
      <c r="D44" s="82"/>
      <c r="E44" s="82"/>
      <c r="F44" s="82"/>
      <c r="G44" s="82"/>
      <c r="H44" s="82"/>
      <c r="I44" s="82"/>
      <c r="J44" s="82"/>
      <c r="K44" s="82"/>
      <c r="L44" s="82"/>
      <c r="M44" s="82"/>
      <c r="N44" s="83"/>
    </row>
    <row r="45" spans="1:32" ht="21" x14ac:dyDescent="0.35">
      <c r="A45" s="63"/>
      <c r="B45" s="65" t="s">
        <v>18</v>
      </c>
      <c r="C45" s="65" t="s">
        <v>19</v>
      </c>
      <c r="D45" s="65" t="s">
        <v>18</v>
      </c>
      <c r="E45" s="65" t="s">
        <v>19</v>
      </c>
      <c r="F45" s="66" t="s">
        <v>18</v>
      </c>
      <c r="G45" s="66" t="s">
        <v>19</v>
      </c>
      <c r="H45" s="66" t="s">
        <v>18</v>
      </c>
      <c r="I45" s="66" t="s">
        <v>19</v>
      </c>
      <c r="J45" s="67" t="s">
        <v>18</v>
      </c>
      <c r="K45" s="67" t="s">
        <v>19</v>
      </c>
      <c r="L45" s="67" t="s">
        <v>18</v>
      </c>
      <c r="M45" s="67" t="s">
        <v>19</v>
      </c>
      <c r="N45" s="81"/>
    </row>
    <row r="46" spans="1:32" ht="21" x14ac:dyDescent="0.35">
      <c r="A46" s="69" t="s">
        <v>7</v>
      </c>
      <c r="B46" s="65" t="s">
        <v>20</v>
      </c>
      <c r="C46" s="65"/>
      <c r="D46" s="65"/>
      <c r="E46" s="65"/>
      <c r="F46" s="66"/>
      <c r="G46" s="66"/>
      <c r="H46" s="66" t="s">
        <v>21</v>
      </c>
      <c r="I46" s="66"/>
      <c r="J46" s="67" t="s">
        <v>20</v>
      </c>
      <c r="K46" s="67"/>
      <c r="L46" s="67"/>
      <c r="M46" s="67"/>
      <c r="N46" s="81">
        <f>COUNTIF(B46:M46,"w*")</f>
        <v>0</v>
      </c>
    </row>
    <row r="47" spans="1:32" ht="21" x14ac:dyDescent="0.35">
      <c r="A47" s="69" t="s">
        <v>8</v>
      </c>
      <c r="B47" s="65" t="s">
        <v>21</v>
      </c>
      <c r="C47" s="65"/>
      <c r="D47" s="65"/>
      <c r="E47" s="65"/>
      <c r="F47" s="66" t="s">
        <v>20</v>
      </c>
      <c r="G47" s="66"/>
      <c r="H47" s="66"/>
      <c r="I47" s="66" t="s">
        <v>82</v>
      </c>
      <c r="J47" s="67"/>
      <c r="K47" s="67"/>
      <c r="L47" s="67" t="s">
        <v>20</v>
      </c>
      <c r="M47" s="67"/>
      <c r="N47" s="81">
        <f>COUNTIF(B47:M47,"w*")</f>
        <v>0</v>
      </c>
    </row>
    <row r="48" spans="1:32" ht="21" x14ac:dyDescent="0.35">
      <c r="A48" s="69" t="s">
        <v>6</v>
      </c>
      <c r="B48" s="65"/>
      <c r="C48" s="65"/>
      <c r="D48" s="65" t="s">
        <v>20</v>
      </c>
      <c r="E48" s="65"/>
      <c r="F48" s="66" t="s">
        <v>21</v>
      </c>
      <c r="G48" s="66"/>
      <c r="H48" s="66"/>
      <c r="I48" s="66"/>
      <c r="J48" s="67" t="s">
        <v>21</v>
      </c>
      <c r="K48" s="67" t="s">
        <v>83</v>
      </c>
      <c r="L48" s="67"/>
      <c r="M48" s="67"/>
      <c r="N48" s="81">
        <f>COUNTIF(B48:M48,"w*")</f>
        <v>1</v>
      </c>
    </row>
    <row r="49" spans="1:32" ht="21" x14ac:dyDescent="0.35">
      <c r="A49" s="69" t="s">
        <v>67</v>
      </c>
      <c r="B49" s="65"/>
      <c r="C49" s="65"/>
      <c r="D49" s="65" t="s">
        <v>21</v>
      </c>
      <c r="E49" s="65" t="s">
        <v>83</v>
      </c>
      <c r="F49" s="66"/>
      <c r="G49" s="66" t="s">
        <v>82</v>
      </c>
      <c r="H49" s="66" t="s">
        <v>20</v>
      </c>
      <c r="I49" s="66" t="s">
        <v>83</v>
      </c>
      <c r="J49" s="67"/>
      <c r="K49" s="67"/>
      <c r="L49" s="67" t="s">
        <v>21</v>
      </c>
      <c r="M49" s="67"/>
      <c r="N49" s="81">
        <f>COUNTIF(B49:M49,"w*")</f>
        <v>2</v>
      </c>
    </row>
    <row r="50" spans="1:32" ht="21" x14ac:dyDescent="0.3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1"/>
      <c r="O50" s="118"/>
      <c r="P50" s="118"/>
      <c r="Q50" s="118"/>
      <c r="R50" s="118"/>
      <c r="S50" s="118"/>
      <c r="T50" s="118"/>
      <c r="U50" s="118"/>
      <c r="V50" s="118"/>
      <c r="W50" s="118"/>
      <c r="X50" s="118"/>
      <c r="Y50" s="118"/>
      <c r="Z50" s="118"/>
      <c r="AA50" s="118"/>
      <c r="AB50" s="118"/>
      <c r="AC50" s="118"/>
      <c r="AD50" s="118"/>
      <c r="AE50" s="118"/>
      <c r="AF50" s="118"/>
    </row>
    <row r="51" spans="1:32" ht="15.75" customHeight="1" x14ac:dyDescent="0.35">
      <c r="A51" s="82"/>
      <c r="B51" s="82"/>
      <c r="C51" s="82" t="s">
        <v>28</v>
      </c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3"/>
    </row>
    <row r="52" spans="1:32" ht="15.75" customHeight="1" x14ac:dyDescent="0.35">
      <c r="A52" s="63"/>
      <c r="B52" s="65" t="s">
        <v>18</v>
      </c>
      <c r="C52" s="65" t="s">
        <v>19</v>
      </c>
      <c r="D52" s="65" t="s">
        <v>18</v>
      </c>
      <c r="E52" s="65" t="s">
        <v>19</v>
      </c>
      <c r="F52" s="66" t="s">
        <v>18</v>
      </c>
      <c r="G52" s="66" t="s">
        <v>19</v>
      </c>
      <c r="H52" s="66" t="s">
        <v>18</v>
      </c>
      <c r="I52" s="66" t="s">
        <v>19</v>
      </c>
      <c r="J52" s="67" t="s">
        <v>18</v>
      </c>
      <c r="K52" s="67" t="s">
        <v>19</v>
      </c>
      <c r="L52" s="67" t="s">
        <v>18</v>
      </c>
      <c r="M52" s="67" t="s">
        <v>19</v>
      </c>
      <c r="N52" s="81"/>
    </row>
    <row r="53" spans="1:32" ht="15.75" customHeight="1" x14ac:dyDescent="0.35">
      <c r="A53" s="69" t="s">
        <v>7</v>
      </c>
      <c r="B53" s="65" t="s">
        <v>21</v>
      </c>
      <c r="C53" s="65"/>
      <c r="D53" s="65"/>
      <c r="E53" s="65"/>
      <c r="F53" s="66"/>
      <c r="G53" s="66"/>
      <c r="H53" s="66" t="s">
        <v>20</v>
      </c>
      <c r="I53" s="66" t="s">
        <v>83</v>
      </c>
      <c r="J53" s="67" t="s">
        <v>21</v>
      </c>
      <c r="K53" s="67"/>
      <c r="L53" s="67"/>
      <c r="M53" s="67"/>
      <c r="N53" s="81">
        <f>COUNTIF(B53:M53,"w*")</f>
        <v>1</v>
      </c>
    </row>
    <row r="54" spans="1:32" ht="15.75" customHeight="1" x14ac:dyDescent="0.35">
      <c r="A54" s="69" t="s">
        <v>8</v>
      </c>
      <c r="B54" s="65" t="s">
        <v>20</v>
      </c>
      <c r="C54" s="65"/>
      <c r="D54" s="65"/>
      <c r="E54" s="65"/>
      <c r="F54" s="66" t="s">
        <v>21</v>
      </c>
      <c r="G54" s="66"/>
      <c r="H54" s="66"/>
      <c r="I54" s="66"/>
      <c r="J54" s="67"/>
      <c r="K54" s="67"/>
      <c r="L54" s="67" t="s">
        <v>21</v>
      </c>
      <c r="M54" s="67"/>
      <c r="N54" s="81">
        <f>COUNTIF(B54:M54,"w*")</f>
        <v>0</v>
      </c>
    </row>
    <row r="55" spans="1:32" ht="15.75" customHeight="1" x14ac:dyDescent="0.35">
      <c r="A55" s="69" t="s">
        <v>6</v>
      </c>
      <c r="B55" s="65"/>
      <c r="C55" s="65"/>
      <c r="D55" s="65" t="s">
        <v>21</v>
      </c>
      <c r="E55" s="65" t="s">
        <v>83</v>
      </c>
      <c r="F55" s="66" t="s">
        <v>20</v>
      </c>
      <c r="G55" s="66"/>
      <c r="H55" s="66"/>
      <c r="I55" s="66" t="s">
        <v>82</v>
      </c>
      <c r="J55" s="67" t="s">
        <v>20</v>
      </c>
      <c r="K55" s="67" t="s">
        <v>86</v>
      </c>
      <c r="L55" s="67"/>
      <c r="M55" s="67"/>
      <c r="N55" s="81">
        <f>COUNTIF(B55:M55,"w*")</f>
        <v>2</v>
      </c>
    </row>
    <row r="56" spans="1:32" ht="15.75" customHeight="1" x14ac:dyDescent="0.35">
      <c r="A56" s="69" t="s">
        <v>67</v>
      </c>
      <c r="B56" s="65"/>
      <c r="C56" s="65"/>
      <c r="D56" s="65" t="s">
        <v>20</v>
      </c>
      <c r="E56" s="65"/>
      <c r="F56" s="66"/>
      <c r="G56" s="66"/>
      <c r="H56" s="66" t="s">
        <v>21</v>
      </c>
      <c r="I56" s="66"/>
      <c r="J56" s="67"/>
      <c r="K56" s="67"/>
      <c r="L56" s="67" t="s">
        <v>20</v>
      </c>
      <c r="M56" s="67"/>
      <c r="N56" s="81">
        <f>COUNTIF(B56:M56,"w*")</f>
        <v>0</v>
      </c>
    </row>
    <row r="57" spans="1:32" ht="15.75" customHeight="1" x14ac:dyDescent="0.35">
      <c r="A57" s="80"/>
      <c r="B57" s="80"/>
      <c r="C57" s="80"/>
      <c r="D57" s="80"/>
      <c r="E57" s="80"/>
      <c r="F57" s="80"/>
      <c r="G57" s="80"/>
      <c r="H57" s="80"/>
      <c r="I57" s="80"/>
      <c r="J57" s="80"/>
      <c r="K57" s="80"/>
      <c r="L57" s="80"/>
      <c r="M57" s="80"/>
      <c r="N57" s="81"/>
    </row>
    <row r="58" spans="1:32" ht="15.75" customHeight="1" x14ac:dyDescent="0.35">
      <c r="A58" s="82"/>
      <c r="B58" s="82"/>
      <c r="C58" s="82" t="s">
        <v>29</v>
      </c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3"/>
    </row>
    <row r="59" spans="1:32" ht="15.75" customHeight="1" x14ac:dyDescent="0.35">
      <c r="A59" s="63"/>
      <c r="B59" s="65" t="s">
        <v>18</v>
      </c>
      <c r="C59" s="65" t="s">
        <v>19</v>
      </c>
      <c r="D59" s="65" t="s">
        <v>18</v>
      </c>
      <c r="E59" s="65" t="s">
        <v>19</v>
      </c>
      <c r="F59" s="66" t="s">
        <v>18</v>
      </c>
      <c r="G59" s="66" t="s">
        <v>19</v>
      </c>
      <c r="H59" s="66" t="s">
        <v>18</v>
      </c>
      <c r="I59" s="66" t="s">
        <v>19</v>
      </c>
      <c r="J59" s="67" t="s">
        <v>18</v>
      </c>
      <c r="K59" s="67" t="s">
        <v>19</v>
      </c>
      <c r="L59" s="67" t="s">
        <v>18</v>
      </c>
      <c r="M59" s="67" t="s">
        <v>19</v>
      </c>
      <c r="N59" s="81"/>
    </row>
    <row r="60" spans="1:32" ht="15.75" customHeight="1" x14ac:dyDescent="0.35">
      <c r="A60" s="69" t="s">
        <v>7</v>
      </c>
      <c r="B60" s="65" t="s">
        <v>20</v>
      </c>
      <c r="C60" s="65"/>
      <c r="D60" s="65"/>
      <c r="E60" s="65"/>
      <c r="F60" s="66"/>
      <c r="G60" s="66"/>
      <c r="H60" s="66" t="s">
        <v>21</v>
      </c>
      <c r="I60" s="66" t="s">
        <v>86</v>
      </c>
      <c r="J60" s="67" t="s">
        <v>20</v>
      </c>
      <c r="K60" s="67" t="s">
        <v>83</v>
      </c>
      <c r="L60" s="67"/>
      <c r="M60" s="67"/>
      <c r="N60" s="81">
        <f>COUNTIF(B60:M60,"w*")</f>
        <v>2</v>
      </c>
    </row>
    <row r="61" spans="1:32" ht="15.75" customHeight="1" x14ac:dyDescent="0.35">
      <c r="A61" s="69" t="s">
        <v>8</v>
      </c>
      <c r="B61" s="65" t="s">
        <v>21</v>
      </c>
      <c r="C61" s="65"/>
      <c r="D61" s="65"/>
      <c r="E61" s="65"/>
      <c r="F61" s="66" t="s">
        <v>20</v>
      </c>
      <c r="G61" s="66"/>
      <c r="H61" s="66"/>
      <c r="I61" s="66"/>
      <c r="J61" s="67"/>
      <c r="K61" s="67"/>
      <c r="L61" s="67" t="s">
        <v>20</v>
      </c>
      <c r="M61" s="67"/>
      <c r="N61" s="81">
        <f>COUNTIF(B61:M61,"w*")</f>
        <v>0</v>
      </c>
    </row>
    <row r="62" spans="1:32" ht="15.75" customHeight="1" x14ac:dyDescent="0.35">
      <c r="A62" s="69" t="s">
        <v>6</v>
      </c>
      <c r="B62" s="65"/>
      <c r="C62" s="65"/>
      <c r="D62" s="65" t="s">
        <v>20</v>
      </c>
      <c r="E62" s="65"/>
      <c r="F62" s="66" t="s">
        <v>21</v>
      </c>
      <c r="G62" s="66"/>
      <c r="H62" s="66"/>
      <c r="I62" s="66"/>
      <c r="J62" s="67" t="s">
        <v>21</v>
      </c>
      <c r="K62" s="67"/>
      <c r="L62" s="67"/>
      <c r="M62" s="67"/>
      <c r="N62" s="81">
        <f>COUNTIF(B62:M62,"w*")</f>
        <v>0</v>
      </c>
    </row>
    <row r="63" spans="1:32" ht="15.75" customHeight="1" x14ac:dyDescent="0.35">
      <c r="A63" s="69" t="s">
        <v>67</v>
      </c>
      <c r="B63" s="65"/>
      <c r="C63" s="65"/>
      <c r="D63" s="65" t="s">
        <v>21</v>
      </c>
      <c r="E63" s="65" t="s">
        <v>83</v>
      </c>
      <c r="F63" s="66"/>
      <c r="G63" s="66"/>
      <c r="H63" s="66" t="s">
        <v>20</v>
      </c>
      <c r="I63" s="66"/>
      <c r="J63" s="67"/>
      <c r="K63" s="67"/>
      <c r="L63" s="67" t="s">
        <v>21</v>
      </c>
      <c r="M63" s="67"/>
      <c r="N63" s="81">
        <f>COUNTIF(B63:M63,"w*")</f>
        <v>1</v>
      </c>
    </row>
    <row r="64" spans="1:32" ht="15.75" customHeight="1" x14ac:dyDescent="0.35">
      <c r="A64" s="80"/>
      <c r="B64" s="80"/>
      <c r="C64" s="80"/>
      <c r="D64" s="80"/>
      <c r="E64" s="80"/>
      <c r="F64" s="80"/>
      <c r="G64" s="80"/>
      <c r="H64" s="80"/>
      <c r="I64" s="80"/>
      <c r="J64" s="80"/>
      <c r="K64" s="80"/>
      <c r="L64" s="80"/>
      <c r="M64" s="80"/>
      <c r="N64" s="81"/>
    </row>
    <row r="65" spans="1:14" ht="18.75" customHeight="1" x14ac:dyDescent="0.35">
      <c r="A65" s="82"/>
      <c r="B65" s="82"/>
      <c r="C65" s="82" t="s">
        <v>30</v>
      </c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83"/>
    </row>
    <row r="66" spans="1:14" ht="21" x14ac:dyDescent="0.35">
      <c r="A66" s="63"/>
      <c r="B66" s="65" t="s">
        <v>18</v>
      </c>
      <c r="C66" s="65" t="s">
        <v>19</v>
      </c>
      <c r="D66" s="65" t="s">
        <v>18</v>
      </c>
      <c r="E66" s="65" t="s">
        <v>19</v>
      </c>
      <c r="F66" s="66" t="s">
        <v>18</v>
      </c>
      <c r="G66" s="66" t="s">
        <v>19</v>
      </c>
      <c r="H66" s="66" t="s">
        <v>18</v>
      </c>
      <c r="I66" s="66" t="s">
        <v>19</v>
      </c>
      <c r="J66" s="67" t="s">
        <v>18</v>
      </c>
      <c r="K66" s="67" t="s">
        <v>19</v>
      </c>
      <c r="L66" s="67" t="s">
        <v>18</v>
      </c>
      <c r="M66" s="67" t="s">
        <v>19</v>
      </c>
      <c r="N66" s="81"/>
    </row>
    <row r="67" spans="1:14" ht="21" x14ac:dyDescent="0.35">
      <c r="A67" s="69" t="s">
        <v>7</v>
      </c>
      <c r="B67" s="65" t="s">
        <v>21</v>
      </c>
      <c r="C67" s="65"/>
      <c r="D67" s="65"/>
      <c r="E67" s="65"/>
      <c r="F67" s="66"/>
      <c r="G67" s="66"/>
      <c r="H67" s="66" t="s">
        <v>20</v>
      </c>
      <c r="I67" s="66"/>
      <c r="J67" s="67" t="s">
        <v>21</v>
      </c>
      <c r="K67" s="67" t="s">
        <v>85</v>
      </c>
      <c r="L67" s="67"/>
      <c r="M67" s="67"/>
      <c r="N67" s="81">
        <f>COUNTIF(B67:M67,"w*")</f>
        <v>1</v>
      </c>
    </row>
    <row r="68" spans="1:14" ht="21" x14ac:dyDescent="0.35">
      <c r="A68" s="69" t="s">
        <v>8</v>
      </c>
      <c r="B68" s="65" t="s">
        <v>20</v>
      </c>
      <c r="C68" s="65"/>
      <c r="D68" s="65"/>
      <c r="E68" s="65"/>
      <c r="F68" s="66" t="s">
        <v>21</v>
      </c>
      <c r="G68" s="66"/>
      <c r="H68" s="66"/>
      <c r="I68" s="66"/>
      <c r="J68" s="67"/>
      <c r="K68" s="67"/>
      <c r="L68" s="67" t="s">
        <v>21</v>
      </c>
      <c r="M68" s="67"/>
      <c r="N68" s="81">
        <f>COUNTIF(B68:M68,"w*")</f>
        <v>0</v>
      </c>
    </row>
    <row r="69" spans="1:14" ht="15.75" customHeight="1" x14ac:dyDescent="0.35">
      <c r="A69" s="69" t="s">
        <v>6</v>
      </c>
      <c r="B69" s="65"/>
      <c r="C69" s="65"/>
      <c r="D69" s="65" t="s">
        <v>21</v>
      </c>
      <c r="E69" s="65" t="s">
        <v>83</v>
      </c>
      <c r="F69" s="66" t="s">
        <v>20</v>
      </c>
      <c r="G69" s="66"/>
      <c r="H69" s="66"/>
      <c r="I69" s="66" t="s">
        <v>82</v>
      </c>
      <c r="J69" s="67" t="s">
        <v>20</v>
      </c>
      <c r="K69" s="67"/>
      <c r="L69" s="67"/>
      <c r="M69" s="67"/>
      <c r="N69" s="81">
        <f>COUNTIF(B69:M69,"w*")</f>
        <v>1</v>
      </c>
    </row>
    <row r="70" spans="1:14" ht="15.75" customHeight="1" x14ac:dyDescent="0.35">
      <c r="A70" s="69" t="s">
        <v>67</v>
      </c>
      <c r="B70" s="65"/>
      <c r="C70" s="65"/>
      <c r="D70" s="65" t="s">
        <v>20</v>
      </c>
      <c r="E70" s="65"/>
      <c r="F70" s="66"/>
      <c r="G70" s="66"/>
      <c r="H70" s="66" t="s">
        <v>21</v>
      </c>
      <c r="I70" s="66" t="s">
        <v>83</v>
      </c>
      <c r="J70" s="67"/>
      <c r="K70" s="67" t="s">
        <v>82</v>
      </c>
      <c r="L70" s="67" t="s">
        <v>20</v>
      </c>
      <c r="M70" s="67"/>
      <c r="N70" s="81">
        <f>COUNTIF(B70:M70,"w*")</f>
        <v>1</v>
      </c>
    </row>
    <row r="71" spans="1:14" ht="15.75" customHeight="1" x14ac:dyDescent="0.35">
      <c r="A71" s="80"/>
      <c r="B71" s="80"/>
      <c r="C71" s="80"/>
      <c r="D71" s="80"/>
      <c r="E71" s="80"/>
      <c r="F71" s="80"/>
      <c r="G71" s="80"/>
      <c r="H71" s="80"/>
      <c r="I71" s="80"/>
      <c r="J71" s="80"/>
      <c r="K71" s="80"/>
      <c r="L71" s="80"/>
      <c r="M71" s="80"/>
      <c r="N71" s="81"/>
    </row>
    <row r="72" spans="1:14" ht="15.75" customHeight="1" x14ac:dyDescent="0.35">
      <c r="A72" s="82"/>
      <c r="B72" s="82"/>
      <c r="C72" s="82" t="s">
        <v>31</v>
      </c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3"/>
    </row>
    <row r="73" spans="1:14" ht="15.75" customHeight="1" x14ac:dyDescent="0.35">
      <c r="A73" s="63"/>
      <c r="B73" s="65" t="s">
        <v>18</v>
      </c>
      <c r="C73" s="65" t="s">
        <v>19</v>
      </c>
      <c r="D73" s="65" t="s">
        <v>18</v>
      </c>
      <c r="E73" s="65" t="s">
        <v>19</v>
      </c>
      <c r="F73" s="66" t="s">
        <v>18</v>
      </c>
      <c r="G73" s="66" t="s">
        <v>19</v>
      </c>
      <c r="H73" s="66" t="s">
        <v>18</v>
      </c>
      <c r="I73" s="66" t="s">
        <v>19</v>
      </c>
      <c r="J73" s="67" t="s">
        <v>18</v>
      </c>
      <c r="K73" s="67" t="s">
        <v>19</v>
      </c>
      <c r="L73" s="67" t="s">
        <v>18</v>
      </c>
      <c r="M73" s="67" t="s">
        <v>19</v>
      </c>
      <c r="N73" s="81"/>
    </row>
    <row r="74" spans="1:14" ht="15.75" customHeight="1" x14ac:dyDescent="0.35">
      <c r="A74" s="69" t="s">
        <v>7</v>
      </c>
      <c r="B74" s="65" t="s">
        <v>20</v>
      </c>
      <c r="C74" s="65"/>
      <c r="D74" s="65"/>
      <c r="E74" s="65"/>
      <c r="F74" s="66"/>
      <c r="G74" s="66"/>
      <c r="H74" s="66" t="s">
        <v>21</v>
      </c>
      <c r="I74" s="66"/>
      <c r="J74" s="67" t="s">
        <v>20</v>
      </c>
      <c r="K74" s="67"/>
      <c r="L74" s="67"/>
      <c r="M74" s="67"/>
      <c r="N74" s="81">
        <f>COUNTIF(B74:M74,"w*")</f>
        <v>0</v>
      </c>
    </row>
    <row r="75" spans="1:14" ht="15.75" customHeight="1" x14ac:dyDescent="0.35">
      <c r="A75" s="69" t="s">
        <v>8</v>
      </c>
      <c r="B75" s="65" t="s">
        <v>21</v>
      </c>
      <c r="C75" s="65"/>
      <c r="D75" s="65"/>
      <c r="E75" s="65"/>
      <c r="F75" s="66" t="s">
        <v>20</v>
      </c>
      <c r="G75" s="66"/>
      <c r="H75" s="66"/>
      <c r="I75" s="66"/>
      <c r="J75" s="67"/>
      <c r="K75" s="67" t="s">
        <v>82</v>
      </c>
      <c r="L75" s="67" t="s">
        <v>20</v>
      </c>
      <c r="M75" s="67"/>
      <c r="N75" s="81">
        <f>COUNTIF(B75:M75,"w*")</f>
        <v>0</v>
      </c>
    </row>
    <row r="76" spans="1:14" ht="15.75" customHeight="1" x14ac:dyDescent="0.35">
      <c r="A76" s="69" t="s">
        <v>6</v>
      </c>
      <c r="B76" s="65"/>
      <c r="C76" s="65"/>
      <c r="D76" s="65" t="s">
        <v>20</v>
      </c>
      <c r="E76" s="65" t="s">
        <v>82</v>
      </c>
      <c r="F76" s="66" t="s">
        <v>21</v>
      </c>
      <c r="G76" s="66"/>
      <c r="H76" s="66"/>
      <c r="I76" s="66"/>
      <c r="J76" s="67" t="s">
        <v>21</v>
      </c>
      <c r="K76" s="67" t="s">
        <v>101</v>
      </c>
      <c r="L76" s="67"/>
      <c r="M76" s="67"/>
      <c r="N76" s="81">
        <f>COUNTIF(B76:M76,"w*")</f>
        <v>0</v>
      </c>
    </row>
    <row r="77" spans="1:14" ht="15.75" customHeight="1" x14ac:dyDescent="0.35">
      <c r="A77" s="69" t="s">
        <v>67</v>
      </c>
      <c r="B77" s="65"/>
      <c r="C77" s="65"/>
      <c r="D77" s="65" t="s">
        <v>21</v>
      </c>
      <c r="E77" s="65"/>
      <c r="F77" s="66"/>
      <c r="G77" s="66"/>
      <c r="H77" s="66" t="s">
        <v>20</v>
      </c>
      <c r="I77" s="66"/>
      <c r="J77" s="67"/>
      <c r="K77" s="67"/>
      <c r="L77" s="67" t="s">
        <v>21</v>
      </c>
      <c r="M77" s="67"/>
      <c r="N77" s="81">
        <f>COUNTIF(B77:M77,"w*")</f>
        <v>0</v>
      </c>
    </row>
    <row r="78" spans="1:14" ht="15.75" customHeight="1" x14ac:dyDescent="0.35">
      <c r="A78" s="80"/>
      <c r="B78" s="80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0"/>
      <c r="N78" s="81"/>
    </row>
    <row r="79" spans="1:14" ht="15.75" customHeight="1" x14ac:dyDescent="0.35">
      <c r="A79" s="82"/>
      <c r="B79" s="82"/>
      <c r="C79" s="82" t="s">
        <v>32</v>
      </c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3"/>
    </row>
    <row r="80" spans="1:14" ht="15.75" customHeight="1" x14ac:dyDescent="0.35">
      <c r="A80" s="63"/>
      <c r="B80" s="65" t="s">
        <v>18</v>
      </c>
      <c r="C80" s="65" t="s">
        <v>19</v>
      </c>
      <c r="D80" s="65" t="s">
        <v>18</v>
      </c>
      <c r="E80" s="65" t="s">
        <v>19</v>
      </c>
      <c r="F80" s="66" t="s">
        <v>18</v>
      </c>
      <c r="G80" s="66" t="s">
        <v>19</v>
      </c>
      <c r="H80" s="66" t="s">
        <v>18</v>
      </c>
      <c r="I80" s="66" t="s">
        <v>19</v>
      </c>
      <c r="J80" s="67" t="s">
        <v>18</v>
      </c>
      <c r="K80" s="67" t="s">
        <v>19</v>
      </c>
      <c r="L80" s="67" t="s">
        <v>18</v>
      </c>
      <c r="M80" s="67" t="s">
        <v>19</v>
      </c>
      <c r="N80" s="81"/>
    </row>
    <row r="81" spans="1:14" ht="15.75" customHeight="1" x14ac:dyDescent="0.35">
      <c r="A81" s="69" t="s">
        <v>7</v>
      </c>
      <c r="B81" s="65" t="s">
        <v>21</v>
      </c>
      <c r="C81" s="65"/>
      <c r="D81" s="65"/>
      <c r="E81" s="65"/>
      <c r="F81" s="66"/>
      <c r="G81" s="66"/>
      <c r="H81" s="66" t="s">
        <v>20</v>
      </c>
      <c r="I81" s="66"/>
      <c r="J81" s="67" t="s">
        <v>21</v>
      </c>
      <c r="K81" s="67"/>
      <c r="L81" s="67"/>
      <c r="M81" s="67"/>
      <c r="N81" s="81">
        <f>COUNTIF(B81:M81,"w*")</f>
        <v>0</v>
      </c>
    </row>
    <row r="82" spans="1:14" ht="15.75" customHeight="1" x14ac:dyDescent="0.35">
      <c r="A82" s="69" t="s">
        <v>8</v>
      </c>
      <c r="B82" s="65" t="s">
        <v>20</v>
      </c>
      <c r="C82" s="65"/>
      <c r="D82" s="65"/>
      <c r="E82" s="65"/>
      <c r="F82" s="66" t="s">
        <v>21</v>
      </c>
      <c r="G82" s="66"/>
      <c r="H82" s="66"/>
      <c r="I82" s="66"/>
      <c r="J82" s="67"/>
      <c r="K82" s="67"/>
      <c r="L82" s="67" t="s">
        <v>21</v>
      </c>
      <c r="M82" s="67"/>
      <c r="N82" s="81">
        <f>COUNTIF(B82:M82,"w*")</f>
        <v>0</v>
      </c>
    </row>
    <row r="83" spans="1:14" ht="15.75" customHeight="1" x14ac:dyDescent="0.35">
      <c r="A83" s="69" t="s">
        <v>6</v>
      </c>
      <c r="B83" s="65"/>
      <c r="C83" s="65"/>
      <c r="D83" s="65" t="s">
        <v>21</v>
      </c>
      <c r="E83" s="65"/>
      <c r="F83" s="66" t="s">
        <v>20</v>
      </c>
      <c r="G83" s="66"/>
      <c r="H83" s="66"/>
      <c r="I83" s="66" t="s">
        <v>82</v>
      </c>
      <c r="J83" s="67" t="s">
        <v>20</v>
      </c>
      <c r="K83" s="67"/>
      <c r="L83" s="67"/>
      <c r="M83" s="67"/>
      <c r="N83" s="81">
        <f>COUNTIF(B83:M83,"w*")</f>
        <v>0</v>
      </c>
    </row>
    <row r="84" spans="1:14" ht="15.75" customHeight="1" x14ac:dyDescent="0.35">
      <c r="A84" s="69" t="s">
        <v>67</v>
      </c>
      <c r="B84" s="65"/>
      <c r="C84" s="65"/>
      <c r="D84" s="65" t="s">
        <v>20</v>
      </c>
      <c r="E84" s="65"/>
      <c r="F84" s="66"/>
      <c r="G84" s="66"/>
      <c r="H84" s="66" t="s">
        <v>21</v>
      </c>
      <c r="I84" s="66"/>
      <c r="J84" s="67"/>
      <c r="K84" s="67" t="s">
        <v>82</v>
      </c>
      <c r="L84" s="67" t="s">
        <v>20</v>
      </c>
      <c r="M84" s="67"/>
      <c r="N84" s="81">
        <f>COUNTIF(B84:M84,"w*")</f>
        <v>0</v>
      </c>
    </row>
    <row r="85" spans="1:14" ht="15.75" customHeight="1" x14ac:dyDescent="0.35">
      <c r="A85" s="80"/>
      <c r="B85" s="80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0"/>
      <c r="N85" s="81"/>
    </row>
    <row r="86" spans="1:14" ht="15.75" customHeight="1" x14ac:dyDescent="0.35">
      <c r="A86" s="69" t="s">
        <v>33</v>
      </c>
      <c r="B86" s="63"/>
      <c r="C86" s="122">
        <f>SUMIF($A$2:$A$84,"Irek",$N$2:$N$84)</f>
        <v>14</v>
      </c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4"/>
    </row>
    <row r="87" spans="1:14" ht="15.75" customHeight="1" x14ac:dyDescent="0.35">
      <c r="A87" s="69" t="s">
        <v>34</v>
      </c>
      <c r="B87" s="63"/>
      <c r="C87" s="122">
        <f>SUMIF($A$2:$A$84,"Marcin",$N$2:$N$84)</f>
        <v>0</v>
      </c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4"/>
    </row>
    <row r="88" spans="1:14" ht="15.75" customHeight="1" x14ac:dyDescent="0.35">
      <c r="A88" s="69" t="s">
        <v>35</v>
      </c>
      <c r="B88" s="63"/>
      <c r="C88" s="122">
        <f>SUMIF($A$2:$A$84,"Rysiek",$N$2:$N$84)</f>
        <v>6</v>
      </c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4"/>
    </row>
    <row r="89" spans="1:14" ht="15.75" customHeight="1" x14ac:dyDescent="0.35">
      <c r="A89" s="69" t="s">
        <v>68</v>
      </c>
      <c r="B89" s="86"/>
      <c r="C89" s="122">
        <f>SUMIF($A$2:$A$84,"Piotr",$N$2:$N$84)</f>
        <v>10</v>
      </c>
      <c r="D89" s="123"/>
      <c r="E89" s="123"/>
      <c r="F89" s="123"/>
      <c r="G89" s="123"/>
      <c r="H89" s="123"/>
      <c r="I89" s="123"/>
      <c r="J89" s="123"/>
      <c r="K89" s="123"/>
      <c r="L89" s="123"/>
      <c r="M89" s="123"/>
      <c r="N89" s="124"/>
    </row>
    <row r="90" spans="1:14" ht="15.75" customHeight="1" x14ac:dyDescent="0.25"/>
    <row r="91" spans="1:14" ht="15.75" customHeight="1" x14ac:dyDescent="0.25"/>
    <row r="92" spans="1:14" ht="15.75" customHeight="1" x14ac:dyDescent="0.25"/>
    <row r="93" spans="1:14" ht="15.75" customHeight="1" x14ac:dyDescent="0.25">
      <c r="I93" s="37" t="s">
        <v>82</v>
      </c>
    </row>
    <row r="94" spans="1:14" ht="15.75" customHeight="1" x14ac:dyDescent="0.25"/>
    <row r="95" spans="1:14" ht="15.75" customHeight="1" x14ac:dyDescent="0.25"/>
    <row r="96" spans="1:14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</sheetData>
  <mergeCells count="4">
    <mergeCell ref="C86:N86"/>
    <mergeCell ref="C87:N87"/>
    <mergeCell ref="C88:N88"/>
    <mergeCell ref="C89:N89"/>
  </mergeCells>
  <pageMargins left="0.70866141732283472" right="0.70866141732283472" top="0.74803149606299213" bottom="0.74803149606299213" header="0" footer="0"/>
  <pageSetup paperSize="9" scale="8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Pula</vt:lpstr>
      <vt:lpstr>Wyniki</vt:lpstr>
      <vt:lpstr>Podsumowanie</vt:lpstr>
      <vt:lpstr>prot_wzór</vt:lpstr>
      <vt:lpstr>prot_wzór_4</vt:lpstr>
      <vt:lpstr>Ilość rund</vt:lpstr>
      <vt:lpstr>prot_04_01_26</vt:lpstr>
      <vt:lpstr>prot_11_01_26</vt:lpstr>
      <vt:lpstr>prot_25_01_26</vt:lpstr>
      <vt:lpstr>prot_01_03_26</vt:lpstr>
      <vt:lpstr>prot_08_03_26</vt:lpstr>
      <vt:lpstr>prot_15_03_26</vt:lpstr>
      <vt:lpstr>prot_29_03_26</vt:lpstr>
      <vt:lpstr>prot_12_04_26</vt:lpstr>
      <vt:lpstr>prot_26_04_26</vt:lpstr>
      <vt:lpstr>prot_29_04_26</vt:lpstr>
      <vt:lpstr>prot_03_05_26</vt:lpstr>
      <vt:lpstr>prot_06_05_26</vt:lpstr>
      <vt:lpstr>prot_10_05_26</vt:lpstr>
      <vt:lpstr>prot_17_05_26</vt:lpstr>
      <vt:lpstr>prot_24_05_26</vt:lpstr>
      <vt:lpstr>prot_07_06_26</vt:lpstr>
      <vt:lpstr>prot_14_06_26</vt:lpstr>
      <vt:lpstr>prot_05_07_26</vt:lpstr>
      <vt:lpstr>prot_19_07_26</vt:lpstr>
      <vt:lpstr>prot_26_07_26</vt:lpstr>
      <vt:lpstr>prot_09_08_26</vt:lpstr>
      <vt:lpstr>prot_16_08_26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Ireneusz Stamburski</dc:creator>
  <cp:lastModifiedBy>Ireneusz Stamburski</cp:lastModifiedBy>
  <cp:lastPrinted>2024-12-28T23:17:15Z</cp:lastPrinted>
  <dcterms:created xsi:type="dcterms:W3CDTF">2024-06-02T10:46:00Z</dcterms:created>
  <dcterms:modified xsi:type="dcterms:W3CDTF">2026-08-16T09:05:42Z</dcterms:modified>
</cp:coreProperties>
</file>