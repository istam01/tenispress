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596" documentId="13_ncr:1_{01A063F3-997C-4D1C-9898-A98279BCB518}" xr6:coauthVersionLast="47" xr6:coauthVersionMax="47" xr10:uidLastSave="{093941C3-8018-4759-9370-7A02B6F5EBCD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  <sheet name="prot_13_09_26" sheetId="97" r:id="rId3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9" i="2" l="1"/>
  <c r="K49" i="2"/>
  <c r="H49" i="2"/>
  <c r="E49" i="2"/>
  <c r="L50" i="2"/>
  <c r="I50" i="2"/>
  <c r="F50" i="2"/>
  <c r="C50" i="2"/>
  <c r="N84" i="97"/>
  <c r="N83" i="97"/>
  <c r="N82" i="97"/>
  <c r="N81" i="97"/>
  <c r="N77" i="97"/>
  <c r="N76" i="97"/>
  <c r="N75" i="97"/>
  <c r="N74" i="97"/>
  <c r="N70" i="97"/>
  <c r="N69" i="97"/>
  <c r="N68" i="97"/>
  <c r="N67" i="97"/>
  <c r="N63" i="97"/>
  <c r="N62" i="97"/>
  <c r="N61" i="97"/>
  <c r="N60" i="97"/>
  <c r="N56" i="97"/>
  <c r="N55" i="97"/>
  <c r="N54" i="97"/>
  <c r="N53" i="97"/>
  <c r="N49" i="97"/>
  <c r="N48" i="97"/>
  <c r="N47" i="97"/>
  <c r="N46" i="97"/>
  <c r="N42" i="97"/>
  <c r="N41" i="97"/>
  <c r="N40" i="97"/>
  <c r="N39" i="97"/>
  <c r="N35" i="97"/>
  <c r="N34" i="97"/>
  <c r="N33" i="97"/>
  <c r="N32" i="97"/>
  <c r="N28" i="97"/>
  <c r="N27" i="97"/>
  <c r="N26" i="97"/>
  <c r="N25" i="97"/>
  <c r="N21" i="97"/>
  <c r="N20" i="97"/>
  <c r="N19" i="97"/>
  <c r="N18" i="97"/>
  <c r="N14" i="97"/>
  <c r="N13" i="97"/>
  <c r="N12" i="97"/>
  <c r="N11" i="97"/>
  <c r="N7" i="97"/>
  <c r="N6" i="97"/>
  <c r="C88" i="97" s="1"/>
  <c r="N5" i="97"/>
  <c r="N4" i="97"/>
  <c r="N48" i="2"/>
  <c r="K48" i="2"/>
  <c r="H48" i="2"/>
  <c r="E48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50" i="2" s="1"/>
  <c r="K23" i="2"/>
  <c r="H23" i="2"/>
  <c r="E23" i="2"/>
  <c r="E50" i="2" s="1"/>
  <c r="H50" i="2" l="1"/>
  <c r="K50" i="2"/>
  <c r="C89" i="97"/>
  <c r="C87" i="97"/>
  <c r="C86" i="97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49" i="17" a="1"/>
  <c r="C53" i="17" a="1"/>
  <c r="C48" i="17" a="1"/>
  <c r="C38" i="17" a="1"/>
  <c r="C52" i="17" a="1"/>
  <c r="C15" i="17" a="1"/>
  <c r="C51" i="17" a="1"/>
  <c r="C14" i="17" a="1"/>
  <c r="C19" i="17" a="1"/>
  <c r="C7" i="17" a="1"/>
  <c r="C25" i="17" a="1"/>
  <c r="C20" i="17" a="1"/>
  <c r="C24" i="17" a="1"/>
  <c r="C9" i="17" a="1"/>
  <c r="C50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<sst xmlns="http://schemas.openxmlformats.org/spreadsheetml/2006/main" count="11513" uniqueCount="103">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</sst>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1"/>
  <sheetViews>
    <sheetView topLeftCell="B36" zoomScaleNormal="100" workbookViewId="0">
      <selection activeCell="K49" sqref="K49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9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>VLOOKUP(D48,$D$6:$E$16,2,FALSE)+C48</f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>VLOOKUP(J48,$D$6:$E$16,2,FALSE)+I48</f>
        <v>4</v>
      </c>
      <c r="L48" s="56">
        <v>15</v>
      </c>
      <c r="M48" s="62">
        <v>1</v>
      </c>
      <c r="N48" s="58">
        <f>VLOOKUP(M48,$D$6:$E$16,2,FALSE)+L48</f>
        <v>22</v>
      </c>
    </row>
    <row r="49" spans="2:14" ht="24" customHeight="1" x14ac:dyDescent="0.25">
      <c r="B49" s="113">
        <v>46278</v>
      </c>
      <c r="C49" s="13">
        <v>9</v>
      </c>
      <c r="D49" s="16">
        <v>2</v>
      </c>
      <c r="E49" s="22">
        <f>VLOOKUP(D49,$D$6:$E$16,2,FALSE)+C49</f>
        <v>14</v>
      </c>
      <c r="F49" s="14">
        <v>6</v>
      </c>
      <c r="G49" s="18">
        <v>3</v>
      </c>
      <c r="H49" s="23">
        <f t="shared" si="5"/>
        <v>9</v>
      </c>
      <c r="I49" s="15">
        <v>0</v>
      </c>
      <c r="J49" s="20" t="s">
        <v>66</v>
      </c>
      <c r="K49" s="24">
        <f>VLOOKUP(J49,$D$6:$E$16,2,FALSE)+I49</f>
        <v>0</v>
      </c>
      <c r="L49" s="56">
        <v>15</v>
      </c>
      <c r="M49" s="62">
        <v>1</v>
      </c>
      <c r="N49" s="58">
        <f>VLOOKUP(M49,$D$6:$E$16,2,FALSE)+L49</f>
        <v>22</v>
      </c>
    </row>
    <row r="50" spans="2:14" ht="27.75" customHeight="1" x14ac:dyDescent="0.5">
      <c r="B50" s="25" t="s">
        <v>15</v>
      </c>
      <c r="C50" s="97">
        <f>SUM(C22:C49)</f>
        <v>265</v>
      </c>
      <c r="E50" s="101">
        <f>SUM(E22:E49)</f>
        <v>388</v>
      </c>
      <c r="F50" s="97">
        <f>SUM(F22:F49)</f>
        <v>255</v>
      </c>
      <c r="G50" s="96"/>
      <c r="H50" s="107">
        <f>SUM(H22:H49)</f>
        <v>382</v>
      </c>
      <c r="I50" s="97">
        <f>SUM(I22:I49)</f>
        <v>98</v>
      </c>
      <c r="J50" s="25"/>
      <c r="K50" s="108">
        <f>SUM(K22:K49)</f>
        <v>139</v>
      </c>
      <c r="L50" s="97">
        <f>SUM(L22:L49)</f>
        <v>272</v>
      </c>
      <c r="N50" s="112">
        <f>SUM(N22:N49)</f>
        <v>408</v>
      </c>
    </row>
    <row r="51" spans="2:14" ht="14.25" customHeight="1" x14ac:dyDescent="0.25">
      <c r="K51" s="1"/>
    </row>
    <row r="52" spans="2:14" ht="14.25" customHeight="1" x14ac:dyDescent="0.25"/>
    <row r="53" spans="2:14" ht="14.25" customHeight="1" x14ac:dyDescent="0.25"/>
    <row r="54" spans="2:14" ht="14.25" customHeight="1" x14ac:dyDescent="0.25"/>
    <row r="55" spans="2:14" ht="14.25" customHeight="1" x14ac:dyDescent="0.25"/>
    <row r="56" spans="2:14" ht="12.6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12.6" customHeight="1" x14ac:dyDescent="0.25"/>
    <row r="91" spans="15:16" ht="44.25" customHeight="1" x14ac:dyDescent="0.25">
      <c r="P91" s="102" t="s">
        <v>82</v>
      </c>
    </row>
    <row r="92" spans="15:16" ht="14.25" customHeight="1" x14ac:dyDescent="0.25">
      <c r="O92" s="2"/>
    </row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  <row r="1101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40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36</v>
      </c>
    </row>
    <row r="10" spans="2:3" x14ac:dyDescent="0.25">
      <c r="B10" t="s">
        <v>75</v>
      </c>
      <c r="C10" cm="1">
        <f t="array" ref="C10">CountValueWithColumnACondition("w(0)", "Piotr")</f>
        <v>53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70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61</v>
      </c>
    </row>
    <row r="15" spans="2:3" x14ac:dyDescent="0.25">
      <c r="B15" s="89" t="s">
        <v>76</v>
      </c>
      <c r="C15" cm="1">
        <f t="array" ref="C15">CountValueWithColumnACondition("w(15)", "Piotr")</f>
        <v>61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71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79</v>
      </c>
    </row>
    <row r="20" spans="1:14" x14ac:dyDescent="0.25">
      <c r="B20" s="89" t="s">
        <v>77</v>
      </c>
      <c r="C20" s="34" cm="1">
        <f t="array" ref="C20">CountValueWithColumnACondition("w(30)", "Piotr")</f>
        <v>100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84</v>
      </c>
    </row>
    <row r="23" spans="1:14" x14ac:dyDescent="0.25">
      <c r="B23" s="50" t="s">
        <v>43</v>
      </c>
      <c r="C23" cm="1">
        <f t="array" ref="C23">CountValueWithColumnACondition("w(z)", "Marcin")</f>
        <v>38</v>
      </c>
    </row>
    <row r="24" spans="1:14" x14ac:dyDescent="0.25">
      <c r="B24" s="50" t="s">
        <v>44</v>
      </c>
      <c r="C24" cm="1">
        <f t="array" ref="C24">CountValueWithColumnACondition("w(z)", "Rysiek")</f>
        <v>77</v>
      </c>
    </row>
    <row r="25" spans="1:14" x14ac:dyDescent="0.25">
      <c r="B25" s="89" t="s">
        <v>78</v>
      </c>
      <c r="C25" cm="1">
        <f t="array" ref="C25">CountValueWithColumnACondition("w(z)", "Piotr")</f>
        <v>58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265</v>
      </c>
      <c r="F27" s="87"/>
    </row>
    <row r="28" spans="1:14" x14ac:dyDescent="0.25">
      <c r="A28" s="87"/>
      <c r="B28" s="53" t="s">
        <v>8</v>
      </c>
      <c r="C28">
        <f>SUM(C8,C13,C18,C23)</f>
        <v>98</v>
      </c>
      <c r="N28" s="111" t="s">
        <v>82</v>
      </c>
    </row>
    <row r="29" spans="1:14" x14ac:dyDescent="0.25">
      <c r="B29" s="53" t="s">
        <v>6</v>
      </c>
      <c r="C29">
        <f>SUM(C9,C14,C19,C24)</f>
        <v>253</v>
      </c>
    </row>
    <row r="30" spans="1:14" x14ac:dyDescent="0.25">
      <c r="B30" s="89" t="s">
        <v>67</v>
      </c>
      <c r="C30">
        <f>SUM(C10,C15,C20,C25)</f>
        <v>272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89</v>
      </c>
    </row>
    <row r="33" spans="2:3" x14ac:dyDescent="0.25">
      <c r="B33" s="51" t="s">
        <v>49</v>
      </c>
      <c r="C33" cm="1">
        <f t="array" ref="C33">CountWins("Marcin","Irek")</f>
        <v>47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86</v>
      </c>
    </row>
    <row r="36" spans="2:3" x14ac:dyDescent="0.25">
      <c r="B36" s="51" t="s">
        <v>50</v>
      </c>
      <c r="C36" cm="1">
        <f t="array" ref="C36">CountWins("Irek","Rysiek")</f>
        <v>106</v>
      </c>
    </row>
    <row r="37" spans="2:3" x14ac:dyDescent="0.25">
      <c r="B37" s="51" t="s">
        <v>51</v>
      </c>
      <c r="C37" cm="1">
        <f t="array" ref="C37">CountWins("Rysiek","Irek")</f>
        <v>109</v>
      </c>
    </row>
    <row r="38" spans="2:3" x14ac:dyDescent="0.25">
      <c r="B38" s="88" t="s">
        <v>69</v>
      </c>
      <c r="C38" cm="1">
        <f t="array" ref="C38">CountWins("Irek","Piotr")</f>
        <v>70</v>
      </c>
    </row>
    <row r="39" spans="2:3" x14ac:dyDescent="0.25">
      <c r="B39" s="88" t="s">
        <v>70</v>
      </c>
      <c r="C39" cm="1">
        <f t="array" ref="C39">CountWins("Piotr","Irek")</f>
        <v>103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66</v>
      </c>
    </row>
    <row r="42" spans="2:3" x14ac:dyDescent="0.25">
      <c r="B42" s="88" t="s">
        <v>73</v>
      </c>
      <c r="C42" cm="1">
        <f t="array" ref="C42">CountWins("Rysiek","Piotr")</f>
        <v>60</v>
      </c>
    </row>
    <row r="43" spans="2:3" x14ac:dyDescent="0.25">
      <c r="B43" s="88" t="s">
        <v>74</v>
      </c>
      <c r="C43" cm="1">
        <f t="array" ref="C43">CountWins("Piotr","Rysiek")</f>
        <v>103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138</v>
      </c>
    </row>
    <row r="47" spans="2:3" x14ac:dyDescent="0.25">
      <c r="B47" s="53" t="s">
        <v>55</v>
      </c>
      <c r="C47" cm="1">
        <f t="array" ref="C47">CountCellsStartingWithWwhereColumnSorO("Irek","o")</f>
        <v>127</v>
      </c>
    </row>
    <row r="48" spans="2:3" x14ac:dyDescent="0.25">
      <c r="B48" s="53" t="s">
        <v>56</v>
      </c>
      <c r="C48" cm="1">
        <f t="array" ref="C48">CountCellsStartingWithWwhereColumnSorO("Rysiek","s")</f>
        <v>135</v>
      </c>
    </row>
    <row r="49" spans="2:3" x14ac:dyDescent="0.25">
      <c r="B49" s="53" t="s">
        <v>57</v>
      </c>
      <c r="C49" cm="1">
        <f t="array" ref="C49">CountCellsStartingWithWwhereColumnSorO("Rysiek","o")</f>
        <v>120</v>
      </c>
    </row>
    <row r="50" spans="2:3" x14ac:dyDescent="0.25">
      <c r="B50" s="53" t="s">
        <v>58</v>
      </c>
      <c r="C50" cm="1">
        <f t="array" ref="C50">CountCellsStartingWithWwhereColumnSorO("Marcin","s")</f>
        <v>50</v>
      </c>
    </row>
    <row r="51" spans="2:3" x14ac:dyDescent="0.25">
      <c r="B51" s="53" t="s">
        <v>59</v>
      </c>
      <c r="C51" cm="1">
        <f t="array" ref="C51">CountCellsStartingWithWwhereColumnSorO("Marcin","o")</f>
        <v>48</v>
      </c>
    </row>
    <row r="52" spans="2:3" x14ac:dyDescent="0.25">
      <c r="B52" s="89" t="s">
        <v>79</v>
      </c>
      <c r="C52" cm="1">
        <f t="array" ref="C52">CountCellsStartingWithWwhereColumnSorO("Piotr","s")</f>
        <v>132</v>
      </c>
    </row>
    <row r="53" spans="2:3" x14ac:dyDescent="0.25">
      <c r="B53" s="89" t="s">
        <v>80</v>
      </c>
      <c r="C53" cm="1">
        <f t="array" ref="C53">CountCellsStartingWithWwhereColumnSorO("Piotr","o")</f>
        <v>140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6DE4-A96C-4FD1-ACE6-952DA1147853}">
  <sheetPr codeName="Sheet88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85</v>
      </c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84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85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  <vt:lpstr>prot_13_09_26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2026-09-13T11:12:05Z</dcterms:modified>
</cp:coreProperties>
</file>