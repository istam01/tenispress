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232" documentId="13_ncr:1_{32891C05-B7EF-4D94-B7C7-CC022DF648DD}" xr6:coauthVersionLast="47" xr6:coauthVersionMax="47" xr10:uidLastSave="{A074DC89-4556-49DB-9562-92BCE2D3702A}"/>
  <bookViews>
    <workbookView xWindow="-120" yWindow="-120" windowWidth="20730" windowHeight="11160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2" l="1"/>
  <c r="K32" i="2"/>
  <c r="K33" i="2" s="1"/>
  <c r="H32" i="2"/>
  <c r="H33" i="2" s="1"/>
  <c r="E32" i="2"/>
  <c r="N33" i="2"/>
  <c r="L33" i="2"/>
  <c r="I33" i="2"/>
  <c r="F33" i="2"/>
  <c r="E33" i="2"/>
  <c r="C33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78" l="1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4" i="17" a="1"/>
  <c r="C25" i="17" a="1"/>
  <c r="C51" i="17" a="1"/>
  <c r="C50" i="17" a="1"/>
  <c r="C7" i="17" a="1"/>
  <c r="C10" i="17" a="1"/>
  <c r="C15" i="17" a="1"/>
  <c r="C9" i="17" a="1"/>
  <c r="C49" i="17" a="1"/>
  <c r="C20" i="17" a="1"/>
  <c r="C52" i="17" a="1"/>
  <c r="C38" i="17" a="1"/>
  <c r="C24" i="17" a="1"/>
  <c r="C19" i="17" a="1"/>
  <c r="C48" i="17" a="1"/>
  <c r="C53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<sst xmlns="http://schemas.openxmlformats.org/spreadsheetml/2006/main" count="4546" uniqueCount="103">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</sst>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4"/>
  <sheetViews>
    <sheetView tabSelected="1" topLeftCell="A21" zoomScaleNormal="100" workbookViewId="0">
      <selection activeCell="N31" sqref="N31:N32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2" si="0">VLOOKUP(D23,$D$6:$E$16,2,FALSE)+C23</f>
        <v>8</v>
      </c>
      <c r="F23" s="14">
        <v>10</v>
      </c>
      <c r="G23" s="18" t="s">
        <v>89</v>
      </c>
      <c r="H23" s="23">
        <f t="shared" ref="H23:H32" si="1">VLOOKUP(G23,$D$6:$E$16,2,FALSE)+F23</f>
        <v>16</v>
      </c>
      <c r="I23" s="15">
        <v>10</v>
      </c>
      <c r="J23" s="20" t="s">
        <v>89</v>
      </c>
      <c r="K23" s="24">
        <f t="shared" ref="K23:K32" si="2">VLOOKUP(J23,$D$6:$E$16,2,FALSE)+I23</f>
        <v>16</v>
      </c>
      <c r="L23" s="56">
        <v>8</v>
      </c>
      <c r="M23" s="62">
        <v>3</v>
      </c>
      <c r="N23" s="58">
        <f t="shared" ref="N23:N32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7.75" customHeight="1" x14ac:dyDescent="0.5">
      <c r="B33" s="25" t="s">
        <v>15</v>
      </c>
      <c r="C33" s="97">
        <f>SUM(C22:C32)</f>
        <v>97</v>
      </c>
      <c r="E33" s="101">
        <f>SUM(E22:E32)</f>
        <v>141</v>
      </c>
      <c r="F33" s="97">
        <f>SUM(F22:F32)</f>
        <v>103</v>
      </c>
      <c r="G33" s="96"/>
      <c r="H33" s="107">
        <f>SUM(H22:H32)</f>
        <v>152</v>
      </c>
      <c r="I33" s="97">
        <f>SUM(I22:I32)</f>
        <v>57</v>
      </c>
      <c r="J33" s="25"/>
      <c r="K33" s="108">
        <f>SUM(K22:K32)</f>
        <v>81</v>
      </c>
      <c r="L33" s="97">
        <f>SUM(L22:L32)</f>
        <v>82</v>
      </c>
      <c r="N33" s="112">
        <f>SUM(N22:N32)</f>
        <v>123</v>
      </c>
    </row>
    <row r="34" spans="2:14" ht="14.25" customHeight="1" x14ac:dyDescent="0.25">
      <c r="K34" s="1"/>
    </row>
    <row r="35" spans="2:14" ht="14.25" customHeight="1" x14ac:dyDescent="0.25"/>
    <row r="36" spans="2:14" ht="14.25" customHeight="1" x14ac:dyDescent="0.25"/>
    <row r="37" spans="2:14" ht="14.25" customHeight="1" x14ac:dyDescent="0.25"/>
    <row r="38" spans="2:14" ht="14.25" customHeight="1" x14ac:dyDescent="0.25"/>
    <row r="39" spans="2:14" ht="12.6" customHeight="1" x14ac:dyDescent="0.25"/>
    <row r="40" spans="2:14" ht="12.6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44.25" customHeight="1" x14ac:dyDescent="0.25">
      <c r="P74" s="102" t="s">
        <v>82</v>
      </c>
    </row>
    <row r="75" spans="15:16" ht="14.25" customHeight="1" x14ac:dyDescent="0.25">
      <c r="O75" s="2"/>
    </row>
    <row r="76" spans="15:16" ht="14.25" customHeight="1" x14ac:dyDescent="0.25"/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18</v>
      </c>
    </row>
    <row r="8" spans="2:3" x14ac:dyDescent="0.25">
      <c r="B8" t="s">
        <v>46</v>
      </c>
      <c r="C8" cm="1">
        <f t="array" ref="C8">CountValueWithColumnACondition("w(0)", "Marcin")</f>
        <v>8</v>
      </c>
    </row>
    <row r="9" spans="2:3" x14ac:dyDescent="0.25">
      <c r="B9" t="s">
        <v>47</v>
      </c>
      <c r="C9" cm="1">
        <f t="array" ref="C9">CountValueWithColumnACondition("w(0)", "Rysiek")</f>
        <v>18</v>
      </c>
    </row>
    <row r="10" spans="2:3" x14ac:dyDescent="0.25">
      <c r="B10" t="s">
        <v>75</v>
      </c>
      <c r="C10" cm="1">
        <f t="array" ref="C10">CountValueWithColumnACondition("w(0)", "Piotr")</f>
        <v>12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22</v>
      </c>
    </row>
    <row r="13" spans="2:3" x14ac:dyDescent="0.25">
      <c r="B13" s="50" t="s">
        <v>41</v>
      </c>
      <c r="C13" cm="1">
        <f t="array" ref="C13">CountValueWithColumnACondition("w(15)", "Marcin")</f>
        <v>11</v>
      </c>
    </row>
    <row r="14" spans="2:3" x14ac:dyDescent="0.25">
      <c r="B14" s="50" t="s">
        <v>42</v>
      </c>
      <c r="C14" cm="1">
        <f t="array" ref="C14">CountValueWithColumnACondition("w(15)", "Rysiek")</f>
        <v>24</v>
      </c>
    </row>
    <row r="15" spans="2:3" x14ac:dyDescent="0.25">
      <c r="B15" s="89" t="s">
        <v>76</v>
      </c>
      <c r="C15" cm="1">
        <f t="array" ref="C15">CountValueWithColumnACondition("w(15)", "Piotr")</f>
        <v>24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27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30</v>
      </c>
    </row>
    <row r="20" spans="1:14" x14ac:dyDescent="0.25">
      <c r="B20" s="89" t="s">
        <v>77</v>
      </c>
      <c r="C20" s="34" cm="1">
        <f t="array" ref="C20">CountValueWithColumnACondition("w(30)", "Piotr")</f>
        <v>29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30</v>
      </c>
    </row>
    <row r="23" spans="1:14" x14ac:dyDescent="0.25">
      <c r="B23" s="50" t="s">
        <v>43</v>
      </c>
      <c r="C23" cm="1">
        <f t="array" ref="C23">CountValueWithColumnACondition("w(z)", "Marcin")</f>
        <v>23</v>
      </c>
    </row>
    <row r="24" spans="1:14" x14ac:dyDescent="0.25">
      <c r="B24" s="50" t="s">
        <v>44</v>
      </c>
      <c r="C24" cm="1">
        <f t="array" ref="C24">CountValueWithColumnACondition("w(z)", "Rysiek")</f>
        <v>29</v>
      </c>
    </row>
    <row r="25" spans="1:14" x14ac:dyDescent="0.25">
      <c r="B25" s="89" t="s">
        <v>78</v>
      </c>
      <c r="C25" cm="1">
        <f t="array" ref="C25">CountValueWithColumnACondition("w(z)", "Piotr")</f>
        <v>17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97</v>
      </c>
      <c r="F27" s="87"/>
    </row>
    <row r="28" spans="1:14" x14ac:dyDescent="0.25">
      <c r="A28" s="87"/>
      <c r="B28" s="53" t="s">
        <v>8</v>
      </c>
      <c r="C28">
        <f>SUM(C8,C13,C18,C23)</f>
        <v>57</v>
      </c>
      <c r="N28" s="111" t="s">
        <v>82</v>
      </c>
    </row>
    <row r="29" spans="1:14" x14ac:dyDescent="0.25">
      <c r="B29" s="53" t="s">
        <v>6</v>
      </c>
      <c r="C29">
        <f>SUM(C9,C14,C19,C24)</f>
        <v>101</v>
      </c>
    </row>
    <row r="30" spans="1:14" x14ac:dyDescent="0.25">
      <c r="B30" s="89" t="s">
        <v>67</v>
      </c>
      <c r="C30">
        <f>SUM(C10,C15,C20,C25)</f>
        <v>82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40</v>
      </c>
    </row>
    <row r="33" spans="2:3" x14ac:dyDescent="0.25">
      <c r="B33" s="51" t="s">
        <v>49</v>
      </c>
      <c r="C33" cm="1">
        <f t="array" ref="C33">CountWins("Marcin","Irek")</f>
        <v>29</v>
      </c>
    </row>
    <row r="34" spans="2:3" x14ac:dyDescent="0.25">
      <c r="B34" s="51" t="s">
        <v>52</v>
      </c>
      <c r="C34" cm="1">
        <f t="array" ref="C34">CountWins("Marcin","Rysiek")</f>
        <v>23</v>
      </c>
    </row>
    <row r="35" spans="2:3" x14ac:dyDescent="0.25">
      <c r="B35" s="51" t="s">
        <v>53</v>
      </c>
      <c r="C35" cm="1">
        <f t="array" ref="C35">CountWins("Rysiek","Marcin")</f>
        <v>46</v>
      </c>
    </row>
    <row r="36" spans="2:3" x14ac:dyDescent="0.25">
      <c r="B36" s="51" t="s">
        <v>50</v>
      </c>
      <c r="C36" cm="1">
        <f t="array" ref="C36">CountWins("Irek","Rysiek")</f>
        <v>36</v>
      </c>
    </row>
    <row r="37" spans="2:3" x14ac:dyDescent="0.25">
      <c r="B37" s="51" t="s">
        <v>51</v>
      </c>
      <c r="C37" cm="1">
        <f t="array" ref="C37">CountWins("Rysiek","Irek")</f>
        <v>42</v>
      </c>
    </row>
    <row r="38" spans="2:3" x14ac:dyDescent="0.25">
      <c r="B38" s="88" t="s">
        <v>69</v>
      </c>
      <c r="C38" cm="1">
        <f t="array" ref="C38">CountWins("Irek","Piotr")</f>
        <v>21</v>
      </c>
    </row>
    <row r="39" spans="2:3" x14ac:dyDescent="0.25">
      <c r="B39" s="88" t="s">
        <v>70</v>
      </c>
      <c r="C39" cm="1">
        <f t="array" ref="C39">CountWins("Piotr","Irek")</f>
        <v>24</v>
      </c>
    </row>
    <row r="40" spans="2:3" x14ac:dyDescent="0.25">
      <c r="B40" s="88" t="s">
        <v>71</v>
      </c>
      <c r="C40" cm="1">
        <f t="array" ref="C40">CountWins("MArcin","Piotr")</f>
        <v>5</v>
      </c>
    </row>
    <row r="41" spans="2:3" x14ac:dyDescent="0.25">
      <c r="B41" s="88" t="s">
        <v>72</v>
      </c>
      <c r="C41" cm="1">
        <f t="array" ref="C41">CountWins("Piotr","Marcin")</f>
        <v>28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30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53</v>
      </c>
    </row>
    <row r="47" spans="2:3" x14ac:dyDescent="0.25">
      <c r="B47" s="53" t="s">
        <v>55</v>
      </c>
      <c r="C47" cm="1">
        <f t="array" ref="C47">CountCellsStartingWithWwhereColumnSorO("Irek","o")</f>
        <v>44</v>
      </c>
    </row>
    <row r="48" spans="2:3" x14ac:dyDescent="0.25">
      <c r="B48" s="53" t="s">
        <v>56</v>
      </c>
      <c r="C48" cm="1">
        <f t="array" ref="C48">CountCellsStartingWithWwhereColumnSorO("Rysiek","s")</f>
        <v>54</v>
      </c>
    </row>
    <row r="49" spans="2:3" x14ac:dyDescent="0.25">
      <c r="B49" s="53" t="s">
        <v>57</v>
      </c>
      <c r="C49" cm="1">
        <f t="array" ref="C49">CountCellsStartingWithWwhereColumnSorO("Rysiek","o")</f>
        <v>49</v>
      </c>
    </row>
    <row r="50" spans="2:3" x14ac:dyDescent="0.25">
      <c r="B50" s="53" t="s">
        <v>58</v>
      </c>
      <c r="C50" cm="1">
        <f t="array" ref="C50">CountCellsStartingWithWwhereColumnSorO("Marcin","s")</f>
        <v>33</v>
      </c>
    </row>
    <row r="51" spans="2:3" x14ac:dyDescent="0.25">
      <c r="B51" s="53" t="s">
        <v>59</v>
      </c>
      <c r="C51" cm="1">
        <f t="array" ref="C51">CountCellsStartingWithWwhereColumnSorO("Marcin","o")</f>
        <v>24</v>
      </c>
    </row>
    <row r="52" spans="2:3" x14ac:dyDescent="0.25">
      <c r="B52" s="89" t="s">
        <v>79</v>
      </c>
      <c r="C52" cm="1">
        <f t="array" ref="C52">CountCellsStartingWithWwhereColumnSorO("Piotr","s")</f>
        <v>40</v>
      </c>
    </row>
    <row r="53" spans="2:3" x14ac:dyDescent="0.25">
      <c r="B53" s="89" t="s">
        <v>80</v>
      </c>
      <c r="C53" cm="1">
        <f t="array" ref="C53">CountCellsStartingWithWwhereColumnSorO("Piotr","o")</f>
        <v>42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35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35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35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35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35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19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3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16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2026-04-29T20:55:46Z</dcterms:modified>
</cp:coreProperties>
</file>