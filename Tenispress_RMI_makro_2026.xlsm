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330" documentId="13_ncr:1_{32891C05-B7EF-4D94-B7C7-CC022DF648DD}" xr6:coauthVersionLast="47" xr6:coauthVersionMax="47" xr10:uidLastSave="{AE4F4091-7090-4271-9348-80CF52CCC688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" i="2" l="1"/>
  <c r="K33" i="2"/>
  <c r="H33" i="2"/>
  <c r="E33" i="2"/>
  <c r="L34" i="2"/>
  <c r="I34" i="2"/>
  <c r="F34" i="2"/>
  <c r="C34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34" i="2" s="1"/>
  <c r="K23" i="2"/>
  <c r="H23" i="2"/>
  <c r="E23" i="2"/>
  <c r="E34" i="2" l="1"/>
  <c r="H34" i="2"/>
  <c r="K34" i="2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5" i="17" a="1"/>
  <c r="C10" i="17" a="1"/>
  <c r="C20" i="17" a="1"/>
  <c r="C19" i="17" a="1"/>
  <c r="C48" i="17" a="1"/>
  <c r="C50" i="17" a="1"/>
  <c r="C38" i="17" a="1"/>
  <c r="C14" i="17" a="1"/>
  <c r="C49" i="17" a="1"/>
  <c r="C51" i="17" a="1"/>
  <c r="C15" i="17" a="1"/>
  <c r="C52" i="17" a="1"/>
  <c r="C9" i="17" a="1"/>
  <c r="C53" i="17" a="1"/>
  <c r="C7" i="17" a="1"/>
  <c r="C2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<sst xmlns="http://schemas.openxmlformats.org/spreadsheetml/2006/main" count="4949" uniqueCount="103">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</sst>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5"/>
  <sheetViews>
    <sheetView topLeftCell="A22" zoomScaleNormal="100" workbookViewId="0">
      <selection activeCell="N32" sqref="N32:N33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3" si="0">VLOOKUP(D23,$D$6:$E$16,2,FALSE)+C23</f>
        <v>8</v>
      </c>
      <c r="F23" s="14">
        <v>10</v>
      </c>
      <c r="G23" s="18" t="s">
        <v>89</v>
      </c>
      <c r="H23" s="23">
        <f t="shared" ref="H23:H33" si="1">VLOOKUP(G23,$D$6:$E$16,2,FALSE)+F23</f>
        <v>16</v>
      </c>
      <c r="I23" s="15">
        <v>10</v>
      </c>
      <c r="J23" s="20" t="s">
        <v>89</v>
      </c>
      <c r="K23" s="24">
        <f t="shared" ref="K23:K33" si="2">VLOOKUP(J23,$D$6:$E$16,2,FALSE)+I23</f>
        <v>16</v>
      </c>
      <c r="L23" s="56">
        <v>8</v>
      </c>
      <c r="M23" s="62">
        <v>3</v>
      </c>
      <c r="N23" s="58">
        <f t="shared" ref="N23:N33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7.75" customHeight="1" x14ac:dyDescent="0.5">
      <c r="B34" s="25" t="s">
        <v>15</v>
      </c>
      <c r="C34" s="97">
        <f>SUM(C22:C33)</f>
        <v>108</v>
      </c>
      <c r="E34" s="101">
        <f>SUM(E22:E33)</f>
        <v>157</v>
      </c>
      <c r="F34" s="97">
        <f>SUM(F22:F33)</f>
        <v>103</v>
      </c>
      <c r="G34" s="96"/>
      <c r="H34" s="107">
        <f>SUM(H22:H33)</f>
        <v>152</v>
      </c>
      <c r="I34" s="97">
        <f>SUM(I22:I33)</f>
        <v>63</v>
      </c>
      <c r="J34" s="25"/>
      <c r="K34" s="108">
        <f>SUM(K22:K33)</f>
        <v>90</v>
      </c>
      <c r="L34" s="97">
        <f>SUM(L22:L33)</f>
        <v>98</v>
      </c>
      <c r="N34" s="112">
        <f>SUM(N22:N33)</f>
        <v>146</v>
      </c>
    </row>
    <row r="35" spans="2:14" ht="14.25" customHeight="1" x14ac:dyDescent="0.25">
      <c r="K35" s="1"/>
    </row>
    <row r="36" spans="2:14" ht="14.25" customHeight="1" x14ac:dyDescent="0.25"/>
    <row r="37" spans="2:14" ht="14.25" customHeight="1" x14ac:dyDescent="0.25"/>
    <row r="38" spans="2:14" ht="14.25" customHeight="1" x14ac:dyDescent="0.25"/>
    <row r="39" spans="2:14" ht="14.25" customHeight="1" x14ac:dyDescent="0.25"/>
    <row r="40" spans="2:14" ht="12.6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44.25" customHeight="1" x14ac:dyDescent="0.25">
      <c r="P75" s="102" t="s">
        <v>82</v>
      </c>
    </row>
    <row r="76" spans="15:16" ht="14.25" customHeight="1" x14ac:dyDescent="0.25">
      <c r="O76" s="2"/>
    </row>
    <row r="77" spans="15:16" ht="14.25" customHeight="1" x14ac:dyDescent="0.25"/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20</v>
      </c>
    </row>
    <row r="8" spans="2:3" x14ac:dyDescent="0.25">
      <c r="B8" t="s">
        <v>46</v>
      </c>
      <c r="C8" cm="1">
        <f t="array" ref="C8">CountValueWithColumnACondition("w(0)", "Marcin")</f>
        <v>9</v>
      </c>
    </row>
    <row r="9" spans="2:3" x14ac:dyDescent="0.25">
      <c r="B9" t="s">
        <v>47</v>
      </c>
      <c r="C9" cm="1">
        <f t="array" ref="C9">CountValueWithColumnACondition("w(0)", "Rysiek")</f>
        <v>18</v>
      </c>
    </row>
    <row r="10" spans="2:3" x14ac:dyDescent="0.25">
      <c r="B10" t="s">
        <v>75</v>
      </c>
      <c r="C10" cm="1">
        <f t="array" ref="C10">CountValueWithColumnACondition("w(0)", "Piotr")</f>
        <v>16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25</v>
      </c>
    </row>
    <row r="13" spans="2:3" x14ac:dyDescent="0.25">
      <c r="B13" s="50" t="s">
        <v>41</v>
      </c>
      <c r="C13" cm="1">
        <f t="array" ref="C13">CountValueWithColumnACondition("w(15)", "Marcin")</f>
        <v>12</v>
      </c>
    </row>
    <row r="14" spans="2:3" x14ac:dyDescent="0.25">
      <c r="B14" s="50" t="s">
        <v>42</v>
      </c>
      <c r="C14" cm="1">
        <f t="array" ref="C14">CountValueWithColumnACondition("w(15)", "Rysiek")</f>
        <v>24</v>
      </c>
    </row>
    <row r="15" spans="2:3" x14ac:dyDescent="0.25">
      <c r="B15" s="89" t="s">
        <v>76</v>
      </c>
      <c r="C15" cm="1">
        <f t="array" ref="C15">CountValueWithColumnACondition("w(15)", "Piotr")</f>
        <v>29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28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30</v>
      </c>
    </row>
    <row r="20" spans="1:14" x14ac:dyDescent="0.25">
      <c r="B20" s="89" t="s">
        <v>77</v>
      </c>
      <c r="C20" s="34" cm="1">
        <f t="array" ref="C20">CountValueWithColumnACondition("w(30)", "Piotr")</f>
        <v>34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35</v>
      </c>
    </row>
    <row r="23" spans="1:14" x14ac:dyDescent="0.25">
      <c r="B23" s="50" t="s">
        <v>43</v>
      </c>
      <c r="C23" cm="1">
        <f t="array" ref="C23">CountValueWithColumnACondition("w(z)", "Marcin")</f>
        <v>27</v>
      </c>
    </row>
    <row r="24" spans="1:14" x14ac:dyDescent="0.25">
      <c r="B24" s="50" t="s">
        <v>44</v>
      </c>
      <c r="C24" cm="1">
        <f t="array" ref="C24">CountValueWithColumnACondition("w(z)", "Rysiek")</f>
        <v>29</v>
      </c>
    </row>
    <row r="25" spans="1:14" x14ac:dyDescent="0.25">
      <c r="B25" s="89" t="s">
        <v>78</v>
      </c>
      <c r="C25" cm="1">
        <f t="array" ref="C25">CountValueWithColumnACondition("w(z)", "Piotr")</f>
        <v>19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108</v>
      </c>
      <c r="F27" s="87"/>
    </row>
    <row r="28" spans="1:14" x14ac:dyDescent="0.25">
      <c r="A28" s="87"/>
      <c r="B28" s="53" t="s">
        <v>8</v>
      </c>
      <c r="C28">
        <f>SUM(C8,C13,C18,C23)</f>
        <v>63</v>
      </c>
      <c r="N28" s="111" t="s">
        <v>82</v>
      </c>
    </row>
    <row r="29" spans="1:14" x14ac:dyDescent="0.25">
      <c r="B29" s="53" t="s">
        <v>6</v>
      </c>
      <c r="C29">
        <f>SUM(C9,C14,C19,C24)</f>
        <v>101</v>
      </c>
    </row>
    <row r="30" spans="1:14" x14ac:dyDescent="0.25">
      <c r="B30" s="89" t="s">
        <v>67</v>
      </c>
      <c r="C30">
        <f>SUM(C10,C15,C20,C25)</f>
        <v>98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46</v>
      </c>
    </row>
    <row r="33" spans="2:3" x14ac:dyDescent="0.25">
      <c r="B33" s="51" t="s">
        <v>49</v>
      </c>
      <c r="C33" cm="1">
        <f t="array" ref="C33">CountWins("Marcin","Irek")</f>
        <v>34</v>
      </c>
    </row>
    <row r="34" spans="2:3" x14ac:dyDescent="0.25">
      <c r="B34" s="51" t="s">
        <v>52</v>
      </c>
      <c r="C34" cm="1">
        <f t="array" ref="C34">CountWins("Marcin","Rysiek")</f>
        <v>23</v>
      </c>
    </row>
    <row r="35" spans="2:3" x14ac:dyDescent="0.25">
      <c r="B35" s="51" t="s">
        <v>53</v>
      </c>
      <c r="C35" cm="1">
        <f t="array" ref="C35">CountWins("Rysiek","Marcin")</f>
        <v>46</v>
      </c>
    </row>
    <row r="36" spans="2:3" x14ac:dyDescent="0.25">
      <c r="B36" s="51" t="s">
        <v>50</v>
      </c>
      <c r="C36" cm="1">
        <f t="array" ref="C36">CountWins("Irek","Rysiek")</f>
        <v>36</v>
      </c>
    </row>
    <row r="37" spans="2:3" x14ac:dyDescent="0.25">
      <c r="B37" s="51" t="s">
        <v>51</v>
      </c>
      <c r="C37" cm="1">
        <f t="array" ref="C37">CountWins("Rysiek","Irek")</f>
        <v>42</v>
      </c>
    </row>
    <row r="38" spans="2:3" x14ac:dyDescent="0.25">
      <c r="B38" s="88" t="s">
        <v>69</v>
      </c>
      <c r="C38" cm="1">
        <f t="array" ref="C38">CountWins("Irek","Piotr")</f>
        <v>26</v>
      </c>
    </row>
    <row r="39" spans="2:3" x14ac:dyDescent="0.25">
      <c r="B39" s="88" t="s">
        <v>70</v>
      </c>
      <c r="C39" cm="1">
        <f t="array" ref="C39">CountWins("Piotr","Irek")</f>
        <v>30</v>
      </c>
    </row>
    <row r="40" spans="2:3" x14ac:dyDescent="0.25">
      <c r="B40" s="88" t="s">
        <v>71</v>
      </c>
      <c r="C40" cm="1">
        <f t="array" ref="C40">CountWins("MArcin","Piotr")</f>
        <v>6</v>
      </c>
    </row>
    <row r="41" spans="2:3" x14ac:dyDescent="0.25">
      <c r="B41" s="88" t="s">
        <v>72</v>
      </c>
      <c r="C41" cm="1">
        <f t="array" ref="C41">CountWins("Piotr","Marcin")</f>
        <v>38</v>
      </c>
    </row>
    <row r="42" spans="2:3" x14ac:dyDescent="0.25">
      <c r="B42" s="88" t="s">
        <v>73</v>
      </c>
      <c r="C42" cm="1">
        <f t="array" ref="C42">CountWins("Rysiek","Piotr")</f>
        <v>15</v>
      </c>
    </row>
    <row r="43" spans="2:3" x14ac:dyDescent="0.25">
      <c r="B43" s="88" t="s">
        <v>74</v>
      </c>
      <c r="C43" cm="1">
        <f t="array" ref="C43">CountWins("Piotr","Rysiek")</f>
        <v>30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56</v>
      </c>
    </row>
    <row r="47" spans="2:3" x14ac:dyDescent="0.25">
      <c r="B47" s="53" t="s">
        <v>55</v>
      </c>
      <c r="C47" cm="1">
        <f t="array" ref="C47">CountCellsStartingWithWwhereColumnSorO("Irek","o")</f>
        <v>52</v>
      </c>
    </row>
    <row r="48" spans="2:3" x14ac:dyDescent="0.25">
      <c r="B48" s="53" t="s">
        <v>56</v>
      </c>
      <c r="C48" cm="1">
        <f t="array" ref="C48">CountCellsStartingWithWwhereColumnSorO("Rysiek","s")</f>
        <v>54</v>
      </c>
    </row>
    <row r="49" spans="2:3" x14ac:dyDescent="0.25">
      <c r="B49" s="53" t="s">
        <v>57</v>
      </c>
      <c r="C49" cm="1">
        <f t="array" ref="C49">CountCellsStartingWithWwhereColumnSorO("Rysiek","o")</f>
        <v>49</v>
      </c>
    </row>
    <row r="50" spans="2:3" x14ac:dyDescent="0.25">
      <c r="B50" s="53" t="s">
        <v>58</v>
      </c>
      <c r="C50" cm="1">
        <f t="array" ref="C50">CountCellsStartingWithWwhereColumnSorO("Marcin","s")</f>
        <v>34</v>
      </c>
    </row>
    <row r="51" spans="2:3" x14ac:dyDescent="0.25">
      <c r="B51" s="53" t="s">
        <v>59</v>
      </c>
      <c r="C51" cm="1">
        <f t="array" ref="C51">CountCellsStartingWithWwhereColumnSorO("Marcin","o")</f>
        <v>29</v>
      </c>
    </row>
    <row r="52" spans="2:3" x14ac:dyDescent="0.25">
      <c r="B52" s="89" t="s">
        <v>79</v>
      </c>
      <c r="C52" cm="1">
        <f t="array" ref="C52">CountCellsStartingWithWwhereColumnSorO("Piotr","s")</f>
        <v>46</v>
      </c>
    </row>
    <row r="53" spans="2:3" x14ac:dyDescent="0.25">
      <c r="B53" s="89" t="s">
        <v>80</v>
      </c>
      <c r="C53" cm="1">
        <f t="array" ref="C53">CountCellsStartingWithWwhereColumnSorO("Piotr","o")</f>
        <v>52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5">
        <f>SUMIF($A$2:$A$65,"Irek",$H$2:$H$74)</f>
        <v>0</v>
      </c>
      <c r="D76" s="116"/>
      <c r="E76" s="116"/>
      <c r="F76" s="116"/>
      <c r="G76" s="116"/>
      <c r="H76" s="117"/>
    </row>
    <row r="77" spans="1:8" ht="15.75" customHeight="1" x14ac:dyDescent="0.35">
      <c r="A77" s="39" t="s">
        <v>34</v>
      </c>
      <c r="B77" s="35"/>
      <c r="C77" s="115">
        <f>SUMIF($A$2:$A$65,"Marcin",$H$2:$H$74)</f>
        <v>0</v>
      </c>
      <c r="D77" s="116"/>
      <c r="E77" s="116"/>
      <c r="F77" s="116"/>
      <c r="G77" s="116"/>
      <c r="H77" s="117"/>
    </row>
    <row r="78" spans="1:8" ht="15.75" customHeight="1" x14ac:dyDescent="0.35">
      <c r="A78" s="39" t="s">
        <v>35</v>
      </c>
      <c r="B78" s="35"/>
      <c r="C78" s="115">
        <f>SUMIF($A$2:$A$65,"Rysiek",$H$2:$H$74)</f>
        <v>0</v>
      </c>
      <c r="D78" s="116"/>
      <c r="E78" s="116"/>
      <c r="F78" s="116"/>
      <c r="G78" s="116"/>
      <c r="H78" s="117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18">
        <f>SUMIF($A$2:$A$50,"Irek",$N$2:$N$50)</f>
        <v>0</v>
      </c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20"/>
    </row>
    <row r="53" spans="1:32" ht="21" x14ac:dyDescent="0.35">
      <c r="A53" s="69" t="s">
        <v>34</v>
      </c>
      <c r="B53" s="63"/>
      <c r="C53" s="118">
        <f>SUMIF($A$2:$A$50,"Marcin",$N$2:$N$50)</f>
        <v>0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20"/>
    </row>
    <row r="54" spans="1:32" ht="21" x14ac:dyDescent="0.35">
      <c r="A54" s="69" t="s">
        <v>35</v>
      </c>
      <c r="B54" s="63"/>
      <c r="C54" s="118">
        <f>SUMIF($A$2:$A$50,"Rysiek",$N$2:$N$50)</f>
        <v>0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20"/>
    </row>
    <row r="55" spans="1:32" ht="21" x14ac:dyDescent="0.35">
      <c r="A55" s="69" t="s">
        <v>68</v>
      </c>
      <c r="B55" s="86"/>
      <c r="C55" s="118">
        <f>SUMIF($A$2:$A$50,"Piotr",$N$2:$N$50)</f>
        <v>0</v>
      </c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20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0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9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10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16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8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12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2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13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12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14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0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7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9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8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4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11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14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10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0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8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12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6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11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7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3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10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16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M78" sqref="M7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21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22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22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22">
        <f>COUNTIF(B5:M5,"w*")</f>
        <v>0</v>
      </c>
    </row>
    <row r="6" spans="1:19" ht="21" x14ac:dyDescent="0.35">
      <c r="A6" s="123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22">
        <f>COUNTIF(B6:M6,"w*")</f>
        <v>0</v>
      </c>
    </row>
    <row r="7" spans="1:19" ht="21" x14ac:dyDescent="0.35">
      <c r="A7" s="123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22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18">
        <f>SUMIF($A$2:$A$84,"Irek",$N$2:$N$84)</f>
        <v>11</v>
      </c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20"/>
    </row>
    <row r="87" spans="1:14" ht="15.75" customHeight="1" x14ac:dyDescent="0.35">
      <c r="A87" s="69" t="s">
        <v>34</v>
      </c>
      <c r="B87" s="63"/>
      <c r="C87" s="118">
        <f>SUMIF($A$2:$A$84,"Marcin",$N$2:$N$84)</f>
        <v>6</v>
      </c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20"/>
    </row>
    <row r="88" spans="1:14" ht="15.75" customHeight="1" x14ac:dyDescent="0.35">
      <c r="A88" s="69" t="s">
        <v>35</v>
      </c>
      <c r="B88" s="63"/>
      <c r="C88" s="118">
        <f>SUMIF($A$2:$A$84,"Rysiek",$N$2:$N$84)</f>
        <v>0</v>
      </c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20"/>
    </row>
    <row r="89" spans="1:14" ht="15.75" customHeight="1" x14ac:dyDescent="0.35">
      <c r="A89" s="69" t="s">
        <v>68</v>
      </c>
      <c r="B89" s="86"/>
      <c r="C89" s="118">
        <f>SUMIF($A$2:$A$84,"Piotr",$N$2:$N$84)</f>
        <v>16</v>
      </c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20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2026-05-03T09:08:18Z</dcterms:modified>
</cp:coreProperties>
</file>