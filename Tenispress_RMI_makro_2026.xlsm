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793" documentId="13_ncr:1_{32891C05-B7EF-4D94-B7C7-CC022DF648DD}" xr6:coauthVersionLast="47" xr6:coauthVersionMax="47" xr10:uidLastSave="{50CBDAB3-10BF-40D1-B44C-12EB82CE33B4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8" i="2" l="1"/>
  <c r="K38" i="2"/>
  <c r="H38" i="2"/>
  <c r="E38" i="2"/>
  <c r="L39" i="2"/>
  <c r="I39" i="2"/>
  <c r="F39" i="2"/>
  <c r="C39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E39" i="2" l="1"/>
  <c r="H39" i="2"/>
  <c r="K39" i="2"/>
  <c r="N39" i="2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4" i="17" a="1"/>
  <c r="C10" i="17" a="1"/>
  <c r="C20" i="17" a="1"/>
  <c r="C49" i="17" a="1"/>
  <c r="C9" i="17" a="1"/>
  <c r="C24" i="17" a="1"/>
  <c r="C7" i="17" a="1"/>
  <c r="C25" i="17" a="1"/>
  <c r="C19" i="17" a="1"/>
  <c r="C15" i="17" a="1"/>
  <c r="C53" i="17" a="1"/>
  <c r="C52" i="17" a="1"/>
  <c r="C48" i="17" a="1"/>
  <c r="C51" i="17" a="1"/>
  <c r="C50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<sst xmlns="http://schemas.openxmlformats.org/spreadsheetml/2006/main" count="6972" uniqueCount="103">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</sst>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0"/>
  <sheetViews>
    <sheetView topLeftCell="B37" zoomScaleNormal="100" workbookViewId="0">
      <selection activeCell="G44" sqref="G4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8" si="0">VLOOKUP(D23,$D$6:$E$16,2,FALSE)+C23</f>
        <v>8</v>
      </c>
      <c r="F23" s="14">
        <v>10</v>
      </c>
      <c r="G23" s="18" t="s">
        <v>89</v>
      </c>
      <c r="H23" s="23">
        <f t="shared" ref="H23:H38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8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>VLOOKUP(J37,$D$6:$E$16,2,FALSE)+I37</f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>VLOOKUP(J38,$D$6:$E$16,2,FALSE)+I38</f>
        <v>0</v>
      </c>
      <c r="L38" s="56">
        <v>12</v>
      </c>
      <c r="M38" s="62">
        <v>1</v>
      </c>
      <c r="N38" s="58">
        <f t="shared" si="3"/>
        <v>19</v>
      </c>
    </row>
    <row r="39" spans="2:14" ht="27.75" customHeight="1" x14ac:dyDescent="0.5">
      <c r="B39" s="25" t="s">
        <v>15</v>
      </c>
      <c r="C39" s="97">
        <f>SUM(C22:C38)</f>
        <v>151</v>
      </c>
      <c r="E39" s="101">
        <f>SUM(E22:E38)</f>
        <v>219</v>
      </c>
      <c r="F39" s="97">
        <f>SUM(F22:F38)</f>
        <v>152</v>
      </c>
      <c r="G39" s="96"/>
      <c r="H39" s="107">
        <f>SUM(H22:H38)</f>
        <v>228</v>
      </c>
      <c r="I39" s="97">
        <f>SUM(I22:I38)</f>
        <v>75</v>
      </c>
      <c r="J39" s="25"/>
      <c r="K39" s="108">
        <f>SUM(K22:K38)</f>
        <v>108</v>
      </c>
      <c r="L39" s="97">
        <f>SUM(L22:L38)</f>
        <v>149</v>
      </c>
      <c r="N39" s="112">
        <f>SUM(N22:N38)</f>
        <v>223</v>
      </c>
    </row>
    <row r="40" spans="2:14" ht="14.25" customHeight="1" x14ac:dyDescent="0.25">
      <c r="K40" s="1"/>
    </row>
    <row r="41" spans="2:14" ht="14.25" customHeight="1" x14ac:dyDescent="0.25"/>
    <row r="42" spans="2:14" ht="14.25" customHeight="1" x14ac:dyDescent="0.25"/>
    <row r="43" spans="2:14" ht="14.25" customHeight="1" x14ac:dyDescent="0.25"/>
    <row r="44" spans="2:14" ht="14.25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6:16" ht="12.6" customHeight="1" x14ac:dyDescent="0.25"/>
    <row r="66" spans="16:16" ht="12.6" customHeight="1" x14ac:dyDescent="0.25"/>
    <row r="67" spans="16:16" ht="12.6" customHeight="1" x14ac:dyDescent="0.25"/>
    <row r="68" spans="16:16" ht="12.6" customHeight="1" x14ac:dyDescent="0.25"/>
    <row r="69" spans="16:16" ht="12.6" customHeight="1" x14ac:dyDescent="0.25"/>
    <row r="70" spans="16:16" ht="12.6" customHeight="1" x14ac:dyDescent="0.25"/>
    <row r="71" spans="16:16" ht="12.6" customHeight="1" x14ac:dyDescent="0.25"/>
    <row r="72" spans="16:16" ht="12.6" customHeight="1" x14ac:dyDescent="0.25"/>
    <row r="73" spans="16:16" ht="12.6" customHeight="1" x14ac:dyDescent="0.25"/>
    <row r="74" spans="16:16" ht="12.6" customHeight="1" x14ac:dyDescent="0.25"/>
    <row r="75" spans="16:16" ht="12.6" customHeight="1" x14ac:dyDescent="0.25"/>
    <row r="76" spans="16:16" ht="12.6" customHeight="1" x14ac:dyDescent="0.25"/>
    <row r="77" spans="16:16" ht="12.6" customHeight="1" x14ac:dyDescent="0.25"/>
    <row r="78" spans="16:16" ht="12.6" customHeight="1" x14ac:dyDescent="0.25"/>
    <row r="79" spans="16:16" ht="12.6" customHeight="1" x14ac:dyDescent="0.25"/>
    <row r="80" spans="16:16" ht="44.25" customHeight="1" x14ac:dyDescent="0.25">
      <c r="P80" s="102" t="s">
        <v>82</v>
      </c>
    </row>
    <row r="81" spans="15:15" ht="14.25" customHeight="1" x14ac:dyDescent="0.25">
      <c r="O81" s="2"/>
    </row>
    <row r="82" spans="15:15" ht="14.25" customHeight="1" x14ac:dyDescent="0.25"/>
    <row r="83" spans="15:15" ht="14.25" customHeight="1" x14ac:dyDescent="0.25"/>
    <row r="84" spans="15:15" ht="14.25" customHeight="1" x14ac:dyDescent="0.25"/>
    <row r="85" spans="15:15" ht="14.25" customHeight="1" x14ac:dyDescent="0.25"/>
    <row r="86" spans="15:15" ht="14.25" customHeight="1" x14ac:dyDescent="0.25"/>
    <row r="87" spans="15:15" ht="14.25" customHeight="1" x14ac:dyDescent="0.25"/>
    <row r="88" spans="15:15" ht="14.25" customHeight="1" x14ac:dyDescent="0.25"/>
    <row r="89" spans="15:15" ht="14.25" customHeight="1" x14ac:dyDescent="0.25"/>
    <row r="90" spans="15:15" ht="14.25" customHeight="1" x14ac:dyDescent="0.25"/>
    <row r="91" spans="15:15" ht="14.25" customHeight="1" x14ac:dyDescent="0.25"/>
    <row r="92" spans="15:15" ht="14.25" customHeight="1" x14ac:dyDescent="0.25"/>
    <row r="93" spans="15:15" ht="14.25" customHeight="1" x14ac:dyDescent="0.25"/>
    <row r="94" spans="15:15" ht="14.25" customHeight="1" x14ac:dyDescent="0.25"/>
    <row r="95" spans="15:15" ht="14.25" customHeight="1" x14ac:dyDescent="0.25"/>
    <row r="96" spans="15:15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23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23</v>
      </c>
    </row>
    <row r="10" spans="2:3" x14ac:dyDescent="0.25">
      <c r="B10" t="s">
        <v>75</v>
      </c>
      <c r="C10" cm="1">
        <f t="array" ref="C10">CountValueWithColumnACondition("w(0)", "Piotr")</f>
        <v>26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36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35</v>
      </c>
    </row>
    <row r="15" spans="2:3" x14ac:dyDescent="0.25">
      <c r="B15" s="89" t="s">
        <v>76</v>
      </c>
      <c r="C15" cm="1">
        <f t="array" ref="C15">CountValueWithColumnACondition("w(15)", "Piotr")</f>
        <v>40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42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43</v>
      </c>
    </row>
    <row r="20" spans="1:14" x14ac:dyDescent="0.25">
      <c r="B20" s="89" t="s">
        <v>77</v>
      </c>
      <c r="C20" s="34" cm="1">
        <f t="array" ref="C20">CountValueWithColumnACondition("w(30)", "Piotr")</f>
        <v>52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50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49</v>
      </c>
    </row>
    <row r="25" spans="1:14" x14ac:dyDescent="0.25">
      <c r="B25" s="89" t="s">
        <v>78</v>
      </c>
      <c r="C25" cm="1">
        <f t="array" ref="C25">CountValueWithColumnACondition("w(z)", "Piotr")</f>
        <v>31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151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150</v>
      </c>
    </row>
    <row r="30" spans="1:14" x14ac:dyDescent="0.25">
      <c r="B30" s="89" t="s">
        <v>67</v>
      </c>
      <c r="C30">
        <f>SUM(C10,C15,C20,C25)</f>
        <v>149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57</v>
      </c>
    </row>
    <row r="37" spans="2:3" x14ac:dyDescent="0.25">
      <c r="B37" s="51" t="s">
        <v>51</v>
      </c>
      <c r="C37" cm="1">
        <f t="array" ref="C37">CountWins("Rysiek","Irek")</f>
        <v>67</v>
      </c>
    </row>
    <row r="38" spans="2:3" x14ac:dyDescent="0.25">
      <c r="B38" s="88" t="s">
        <v>69</v>
      </c>
      <c r="C38" cm="1">
        <f t="array" ref="C38">CountWins("Irek","Piotr")</f>
        <v>38</v>
      </c>
    </row>
    <row r="39" spans="2:3" x14ac:dyDescent="0.25">
      <c r="B39" s="88" t="s">
        <v>70</v>
      </c>
      <c r="C39" cm="1">
        <f t="array" ref="C39">CountWins("Piotr","Irek")</f>
        <v>54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28</v>
      </c>
    </row>
    <row r="43" spans="2:3" x14ac:dyDescent="0.25">
      <c r="B43" s="88" t="s">
        <v>74</v>
      </c>
      <c r="C43" cm="1">
        <f t="array" ref="C43">CountWins("Piotr","Rysiek")</f>
        <v>53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79</v>
      </c>
    </row>
    <row r="47" spans="2:3" x14ac:dyDescent="0.25">
      <c r="B47" s="53" t="s">
        <v>55</v>
      </c>
      <c r="C47" cm="1">
        <f t="array" ref="C47">CountCellsStartingWithWwhereColumnSorO("Irek","o")</f>
        <v>72</v>
      </c>
    </row>
    <row r="48" spans="2:3" x14ac:dyDescent="0.25">
      <c r="B48" s="53" t="s">
        <v>56</v>
      </c>
      <c r="C48" cm="1">
        <f t="array" ref="C48">CountCellsStartingWithWwhereColumnSorO("Rysiek","s")</f>
        <v>80</v>
      </c>
    </row>
    <row r="49" spans="2:3" x14ac:dyDescent="0.25">
      <c r="B49" s="53" t="s">
        <v>57</v>
      </c>
      <c r="C49" cm="1">
        <f t="array" ref="C49">CountCellsStartingWithWwhereColumnSorO("Rysiek","o")</f>
        <v>72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71</v>
      </c>
    </row>
    <row r="53" spans="2:3" x14ac:dyDescent="0.25">
      <c r="B53" s="89" t="s">
        <v>80</v>
      </c>
      <c r="C53" cm="1">
        <f t="array" ref="C53">CountCellsStartingWithWwhereColumnSorO("Piotr","o")</f>
        <v>78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5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3" spans="2:6" x14ac:dyDescent="0.25">
      <c r="B23" t="str">
        <v>prot_17_05_26</v>
      </c>
    </row>
    <row r="24" spans="2:6" x14ac:dyDescent="0.25">
      <c r="B24" t="str">
        <v>prot_24_05_26</v>
      </c>
      <c r="F24" s="88"/>
    </row>
    <row r="25" spans="2:6" x14ac:dyDescent="0.25">
      <c r="B25" t="str">
        <v>prot_07_06_26</v>
      </c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2026-06-07T09:21:37Z</dcterms:modified>
</cp:coreProperties>
</file>